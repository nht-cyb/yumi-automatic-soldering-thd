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bb15de8d340548/Máy tính/WORK IS SHIT/kẻ hủy diệt lá phổi/"/>
    </mc:Choice>
  </mc:AlternateContent>
  <xr:revisionPtr revIDLastSave="2" documentId="8_{1B8088A2-3FCB-4457-8714-C0181F336F57}" xr6:coauthVersionLast="47" xr6:coauthVersionMax="47" xr10:uidLastSave="{99174E56-420B-46C8-A63B-A78F8031FB4E}"/>
  <bookViews>
    <workbookView xWindow="-109" yWindow="-109" windowWidth="18775" windowHeight="10651" xr2:uid="{00000000-000D-0000-FFFF-FFFF00000000}"/>
  </bookViews>
  <sheets>
    <sheet name="1110_data_no_station" sheetId="1" r:id="rId1"/>
    <sheet name="1710_data_g" sheetId="2" r:id="rId2"/>
    <sheet name="1710_data_y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1" i="1" l="1"/>
  <c r="M132" i="1" s="1"/>
  <c r="K129" i="3"/>
  <c r="L128" i="3"/>
  <c r="K128" i="3"/>
  <c r="L115" i="3"/>
  <c r="K115" i="3"/>
  <c r="L93" i="3"/>
  <c r="K93" i="3"/>
  <c r="L73" i="3"/>
  <c r="K73" i="3"/>
  <c r="K27" i="3"/>
  <c r="K52" i="3"/>
  <c r="L52" i="3"/>
  <c r="K133" i="2"/>
  <c r="L132" i="2"/>
  <c r="L123" i="2"/>
  <c r="L100" i="2"/>
  <c r="L77" i="2"/>
  <c r="L54" i="2"/>
  <c r="L42" i="2"/>
  <c r="L41" i="2"/>
  <c r="N131" i="1"/>
  <c r="N129" i="1"/>
  <c r="N128" i="1"/>
  <c r="N127" i="1"/>
  <c r="N126" i="1"/>
  <c r="N125" i="1"/>
  <c r="N124" i="1"/>
  <c r="N123" i="1"/>
  <c r="K132" i="2"/>
  <c r="K123" i="2"/>
  <c r="K100" i="2"/>
  <c r="K77" i="2"/>
  <c r="K54" i="2"/>
  <c r="K42" i="2"/>
  <c r="K38" i="2"/>
  <c r="K41" i="2"/>
  <c r="M31" i="1"/>
  <c r="M26" i="1"/>
  <c r="M24" i="1"/>
  <c r="M23" i="1"/>
  <c r="M120" i="1"/>
  <c r="M97" i="1"/>
  <c r="M81" i="1"/>
  <c r="L31" i="1"/>
  <c r="H129" i="3"/>
  <c r="I129" i="3"/>
  <c r="G129" i="3"/>
  <c r="G128" i="3"/>
  <c r="G125" i="3"/>
  <c r="I128" i="3"/>
  <c r="H128" i="3"/>
  <c r="H131" i="1"/>
  <c r="I131" i="1"/>
  <c r="G131" i="1"/>
  <c r="I126" i="3"/>
  <c r="H126" i="3"/>
  <c r="J44" i="3"/>
  <c r="K44" i="3"/>
  <c r="L44" i="3"/>
  <c r="J45" i="3"/>
  <c r="K45" i="3"/>
  <c r="L45" i="3"/>
  <c r="J65" i="3"/>
  <c r="K65" i="3"/>
  <c r="L65" i="3"/>
  <c r="J66" i="3"/>
  <c r="K66" i="3"/>
  <c r="L66" i="3"/>
  <c r="J3" i="3"/>
  <c r="K3" i="3"/>
  <c r="L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J23" i="3"/>
  <c r="K23" i="3"/>
  <c r="L23" i="3"/>
  <c r="J24" i="3"/>
  <c r="K24" i="3"/>
  <c r="L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/>
  <c r="G39" i="3"/>
  <c r="H39" i="3"/>
  <c r="I39" i="3"/>
  <c r="G40" i="3"/>
  <c r="H40" i="3"/>
  <c r="I40" i="3"/>
  <c r="G41" i="3"/>
  <c r="H41" i="3"/>
  <c r="I41" i="3"/>
  <c r="G42" i="3"/>
  <c r="H42" i="3"/>
  <c r="I42" i="3"/>
  <c r="G43" i="3"/>
  <c r="H43" i="3"/>
  <c r="I43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H56" i="3"/>
  <c r="I56" i="3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2" i="3"/>
  <c r="H62" i="3"/>
  <c r="I62" i="3"/>
  <c r="G63" i="3"/>
  <c r="H63" i="3"/>
  <c r="I63" i="3"/>
  <c r="G64" i="3"/>
  <c r="H64" i="3"/>
  <c r="I64" i="3"/>
  <c r="G67" i="3"/>
  <c r="H67" i="3"/>
  <c r="I67" i="3"/>
  <c r="G68" i="3"/>
  <c r="H68" i="3"/>
  <c r="I68" i="3"/>
  <c r="G69" i="3"/>
  <c r="H69" i="3"/>
  <c r="I69" i="3"/>
  <c r="G70" i="3"/>
  <c r="H70" i="3"/>
  <c r="I70" i="3"/>
  <c r="G71" i="3"/>
  <c r="H71" i="3"/>
  <c r="I71" i="3"/>
  <c r="G72" i="3"/>
  <c r="H72" i="3"/>
  <c r="I72" i="3"/>
  <c r="G73" i="3"/>
  <c r="H73" i="3"/>
  <c r="I73" i="3"/>
  <c r="G74" i="3"/>
  <c r="H74" i="3"/>
  <c r="I74" i="3"/>
  <c r="G75" i="3"/>
  <c r="H75" i="3"/>
  <c r="I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/>
  <c r="G81" i="3"/>
  <c r="H81" i="3"/>
  <c r="I81" i="3"/>
  <c r="G82" i="3"/>
  <c r="H82" i="3"/>
  <c r="I82" i="3"/>
  <c r="G83" i="3"/>
  <c r="H83" i="3"/>
  <c r="I83" i="3"/>
  <c r="G84" i="3"/>
  <c r="H84" i="3"/>
  <c r="I84" i="3"/>
  <c r="G85" i="3"/>
  <c r="H85" i="3"/>
  <c r="I85" i="3"/>
  <c r="J86" i="3"/>
  <c r="K86" i="3"/>
  <c r="L86" i="3"/>
  <c r="J87" i="3"/>
  <c r="K87" i="3"/>
  <c r="L87" i="3"/>
  <c r="G88" i="3"/>
  <c r="H88" i="3"/>
  <c r="I88" i="3"/>
  <c r="G89" i="3"/>
  <c r="H89" i="3"/>
  <c r="I89" i="3"/>
  <c r="G90" i="3"/>
  <c r="H90" i="3"/>
  <c r="I90" i="3"/>
  <c r="G91" i="3"/>
  <c r="H91" i="3"/>
  <c r="I91" i="3"/>
  <c r="G92" i="3"/>
  <c r="H92" i="3"/>
  <c r="I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/>
  <c r="G99" i="3"/>
  <c r="H99" i="3"/>
  <c r="I99" i="3"/>
  <c r="G100" i="3"/>
  <c r="H100" i="3"/>
  <c r="I100" i="3"/>
  <c r="G101" i="3"/>
  <c r="H101" i="3"/>
  <c r="I101" i="3"/>
  <c r="G102" i="3"/>
  <c r="H102" i="3"/>
  <c r="I102" i="3"/>
  <c r="G103" i="3"/>
  <c r="H103" i="3"/>
  <c r="I103" i="3"/>
  <c r="G104" i="3"/>
  <c r="H104" i="3"/>
  <c r="I104" i="3"/>
  <c r="G105" i="3"/>
  <c r="H105" i="3"/>
  <c r="I105" i="3"/>
  <c r="J106" i="3"/>
  <c r="K106" i="3"/>
  <c r="L106" i="3"/>
  <c r="J107" i="3"/>
  <c r="K107" i="3"/>
  <c r="L107" i="3"/>
  <c r="G108" i="3"/>
  <c r="H108" i="3"/>
  <c r="I108" i="3"/>
  <c r="G109" i="3"/>
  <c r="H109" i="3"/>
  <c r="I109" i="3"/>
  <c r="G110" i="3"/>
  <c r="H110" i="3"/>
  <c r="I110" i="3"/>
  <c r="G111" i="3"/>
  <c r="H111" i="3"/>
  <c r="I111" i="3"/>
  <c r="G112" i="3"/>
  <c r="H112" i="3"/>
  <c r="I112" i="3"/>
  <c r="G113" i="3"/>
  <c r="H113" i="3"/>
  <c r="I113" i="3"/>
  <c r="G114" i="3"/>
  <c r="H114" i="3"/>
  <c r="I114" i="3"/>
  <c r="G115" i="3"/>
  <c r="H115" i="3"/>
  <c r="I115" i="3"/>
  <c r="G116" i="3"/>
  <c r="H116" i="3"/>
  <c r="I116" i="3"/>
  <c r="G117" i="3"/>
  <c r="H117" i="3"/>
  <c r="I117" i="3"/>
  <c r="G118" i="3"/>
  <c r="H118" i="3"/>
  <c r="I118" i="3"/>
  <c r="G119" i="3"/>
  <c r="H119" i="3"/>
  <c r="I119" i="3"/>
  <c r="G120" i="3"/>
  <c r="H120" i="3"/>
  <c r="I120" i="3"/>
  <c r="G121" i="3"/>
  <c r="H121" i="3"/>
  <c r="I121" i="3"/>
  <c r="G122" i="3"/>
  <c r="H122" i="3"/>
  <c r="I122" i="3"/>
  <c r="G123" i="3"/>
  <c r="H123" i="3"/>
  <c r="I123" i="3"/>
  <c r="G124" i="3"/>
  <c r="H124" i="3"/>
  <c r="I124" i="3"/>
  <c r="H125" i="3"/>
  <c r="I125" i="3"/>
  <c r="K2" i="3"/>
  <c r="L2" i="3"/>
  <c r="J2" i="3"/>
  <c r="G2" i="1"/>
  <c r="G7" i="2"/>
  <c r="H7" i="2"/>
  <c r="H132" i="2" s="1"/>
  <c r="I7" i="2"/>
  <c r="I132" i="2" s="1"/>
  <c r="G8" i="2"/>
  <c r="H8" i="2"/>
  <c r="I8" i="2"/>
  <c r="G9" i="2"/>
  <c r="H9" i="2"/>
  <c r="I9" i="2"/>
  <c r="G10" i="2"/>
  <c r="G132" i="2" s="1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J27" i="2"/>
  <c r="K27" i="2"/>
  <c r="L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J48" i="2"/>
  <c r="K48" i="2"/>
  <c r="L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J69" i="2"/>
  <c r="K69" i="2"/>
  <c r="L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J90" i="2"/>
  <c r="K90" i="2"/>
  <c r="L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F110" i="2"/>
  <c r="G110" i="2"/>
  <c r="H110" i="2"/>
  <c r="F111" i="2"/>
  <c r="G111" i="2"/>
  <c r="H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J28" i="1"/>
  <c r="K28" i="1"/>
  <c r="L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J48" i="1"/>
  <c r="K48" i="1"/>
  <c r="L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H2" i="1"/>
  <c r="I2" i="1"/>
  <c r="G126" i="3"/>
</calcChain>
</file>

<file path=xl/sharedStrings.xml><?xml version="1.0" encoding="utf-8"?>
<sst xmlns="http://schemas.openxmlformats.org/spreadsheetml/2006/main" count="414" uniqueCount="220">
  <si>
    <t>X</t>
  </si>
  <si>
    <t>Y</t>
  </si>
  <si>
    <t>Z</t>
  </si>
  <si>
    <t>points</t>
  </si>
  <si>
    <t>△x</t>
  </si>
  <si>
    <t>△y</t>
  </si>
  <si>
    <t>△z</t>
  </si>
  <si>
    <t>hometmp</t>
  </si>
  <si>
    <t>corner</t>
  </si>
  <si>
    <t>Q3</t>
  </si>
  <si>
    <t>Q4</t>
  </si>
  <si>
    <t>A5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</si>
  <si>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</si>
  <si>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</si>
  <si>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</si>
  <si>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</si>
  <si>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</si>
  <si>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</si>
  <si>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</si>
  <si>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</si>
  <si>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</si>
  <si>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</si>
  <si>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</si>
  <si>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</si>
  <si>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</si>
  <si>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</si>
  <si>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</si>
  <si>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</si>
  <si>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</si>
  <si>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</si>
  <si>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Qe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</si>
  <si>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</si>
  <si>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</si>
  <si>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</si>
  <si>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</si>
  <si>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</si>
  <si>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</si>
  <si>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</si>
  <si>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</si>
  <si>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</si>
  <si>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</si>
  <si>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</si>
  <si>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</si>
  <si>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</si>
  <si>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</si>
  <si>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</si>
  <si>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</si>
  <si>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</si>
  <si>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</si>
  <si>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</si>
  <si>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</si>
  <si>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Ne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</si>
  <si>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</si>
  <si>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</si>
  <si>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</si>
  <si>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</si>
  <si>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</si>
  <si>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</si>
  <si>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</si>
  <si>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</si>
  <si>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</si>
  <si>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</si>
  <si>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</si>
  <si>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</si>
  <si>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</si>
  <si>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</si>
  <si>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</si>
  <si>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</si>
  <si>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</si>
  <si>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</si>
  <si>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</si>
  <si>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</si>
  <si>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Ke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</si>
  <si>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</si>
  <si>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</si>
  <si>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</si>
  <si>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</si>
  <si>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</si>
  <si>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</si>
  <si>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</si>
  <si>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</si>
  <si>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</si>
  <si>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</si>
  <si>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</si>
  <si>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</si>
  <si>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</si>
  <si>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</si>
  <si>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</si>
  <si>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</si>
  <si>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</si>
  <si>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</si>
  <si>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</si>
  <si>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</si>
  <si>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</si>
  <si>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</si>
  <si>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</si>
  <si>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</si>
  <si>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</si>
  <si>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</si>
  <si>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</si>
  <si>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</si>
  <si>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</si>
  <si>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</si>
  <si>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</si>
  <si>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</si>
  <si>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</si>
  <si>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</si>
  <si>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</si>
  <si>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</si>
  <si>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</si>
  <si>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</si>
  <si>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</si>
  <si>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</si>
  <si>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</si>
  <si>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</si>
  <si>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</si>
  <si>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</si>
  <si>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</si>
  <si>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</si>
  <si>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</si>
  <si>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</si>
  <si>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</si>
  <si>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</si>
  <si>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</si>
  <si>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</si>
  <si>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</si>
  <si>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</si>
  <si>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</si>
  <si>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</si>
  <si>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</si>
  <si>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</si>
  <si>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</si>
  <si>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</si>
  <si>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corner1</t>
  </si>
  <si>
    <t>homeR</t>
  </si>
  <si>
    <t>S1</t>
  </si>
  <si>
    <t>S24</t>
  </si>
  <si>
    <t>A1</t>
  </si>
  <si>
    <t>A24</t>
  </si>
  <si>
    <t>nh</t>
  </si>
  <si>
    <t>kh</t>
  </si>
  <si>
    <t>hh</t>
  </si>
  <si>
    <t>eh</t>
  </si>
  <si>
    <t>bh</t>
  </si>
  <si>
    <t>A2</t>
  </si>
  <si>
    <t>A3</t>
  </si>
  <si>
    <t>A4</t>
  </si>
  <si>
    <t>A6</t>
  </si>
  <si>
    <t>A7</t>
  </si>
  <si>
    <t>A8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</si>
  <si>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</si>
  <si>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</si>
  <si>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</si>
  <si>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</si>
  <si>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</si>
  <si>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</si>
  <si>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</si>
  <si>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</si>
  <si>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</si>
  <si>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</si>
  <si>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</si>
  <si>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</si>
  <si>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</si>
  <si>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</si>
  <si>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</si>
  <si>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</si>
  <si>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</si>
  <si>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</si>
  <si>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</si>
  <si>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</si>
  <si>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temp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</si>
  <si>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</si>
  <si>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</si>
  <si>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</si>
  <si>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</si>
  <si>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</si>
  <si>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</si>
  <si>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</si>
  <si>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</si>
  <si>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</si>
  <si>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</si>
  <si>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</si>
  <si>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</si>
  <si>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</si>
  <si>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</si>
  <si>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</si>
  <si>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</si>
  <si>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</si>
  <si>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</si>
  <si>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</si>
  <si>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</si>
  <si>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</si>
  <si>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</si>
  <si>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</si>
  <si>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</si>
  <si>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</si>
  <si>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</si>
  <si>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</si>
  <si>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</si>
  <si>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</si>
  <si>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</si>
  <si>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</si>
  <si>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</si>
  <si>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</si>
  <si>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</si>
  <si>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</si>
  <si>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</si>
  <si>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</si>
  <si>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</si>
  <si>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</si>
  <si>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</si>
  <si>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h2</t>
  </si>
  <si>
    <t>h3</t>
  </si>
  <si>
    <t>h4</t>
  </si>
  <si>
    <t>h1</t>
  </si>
  <si>
    <t>it</t>
  </si>
  <si>
    <t>lt</t>
  </si>
  <si>
    <t>ht</t>
  </si>
  <si>
    <t>et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</si>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</sst>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N138"/>
  <sheetViews>
    <sheetView tabSelected="1" topLeftCell="D121" workbookViewId="0">
      <selection activeCell="N131" sqref="N131"/>
    </sheetView>
  </sheetViews>
  <sheetFormatPr defaultRowHeight="14.3" x14ac:dyDescent="0.25"/>
  <sheetData>
    <row r="1" spans="1:9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9" x14ac:dyDescent="0.25">
      <c r="A2">
        <v>233.5</v>
      </c>
      <c r="B2">
        <v>-116.57</v>
      </c>
      <c r="C2">
        <v>119.93</v>
      </c>
      <c r="E2" t="s">
        <v>137</v>
      </c>
      <c r="G2">
        <f>A2-A3</f>
        <v>3.25</v>
      </c>
      <c r="H2">
        <f t="shared" ref="H2:I2" si="0">B2-B3</f>
        <v>0.28000000000000114</v>
      </c>
      <c r="I2">
        <f t="shared" si="0"/>
        <v>6.0000000000002274E-2</v>
      </c>
    </row>
    <row r="3" spans="1:9" x14ac:dyDescent="0.25">
      <c r="A3">
        <v>230.25</v>
      </c>
      <c r="B3">
        <v>-116.85</v>
      </c>
      <c r="C3">
        <v>119.87</v>
      </c>
      <c r="E3" t="s">
        <v>144</v>
      </c>
      <c r="G3">
        <f t="shared" ref="G3:G66" si="1">A3-A4</f>
        <v>2.7700000000000102</v>
      </c>
      <c r="H3">
        <f t="shared" ref="H3:H66" si="2">B3-B4</f>
        <v>0</v>
      </c>
      <c r="I3">
        <f t="shared" ref="I3:I66" si="3">C3-C4</f>
        <v>-0.17000000000000171</v>
      </c>
    </row>
    <row r="4" spans="1:9" x14ac:dyDescent="0.25">
      <c r="A4">
        <v>227.48</v>
      </c>
      <c r="B4">
        <v>-116.85</v>
      </c>
      <c r="C4">
        <v>120.04</v>
      </c>
      <c r="E4" t="s">
        <v>145</v>
      </c>
      <c r="G4">
        <f t="shared" si="1"/>
        <v>1.4899999999999807</v>
      </c>
      <c r="H4">
        <f t="shared" si="2"/>
        <v>-3.0000000000001137E-2</v>
      </c>
      <c r="I4">
        <f t="shared" si="3"/>
        <v>0.4100000000000108</v>
      </c>
    </row>
    <row r="5" spans="1:9" x14ac:dyDescent="0.25">
      <c r="A5">
        <v>225.99</v>
      </c>
      <c r="B5">
        <v>-116.82</v>
      </c>
      <c r="C5">
        <v>119.63</v>
      </c>
      <c r="E5" t="s">
        <v>146</v>
      </c>
      <c r="G5">
        <f t="shared" si="1"/>
        <v>2.8900000000000148</v>
      </c>
      <c r="H5">
        <f t="shared" si="2"/>
        <v>0</v>
      </c>
      <c r="I5">
        <f t="shared" si="3"/>
        <v>0</v>
      </c>
    </row>
    <row r="6" spans="1:9" x14ac:dyDescent="0.25">
      <c r="A6">
        <v>223.1</v>
      </c>
      <c r="B6">
        <v>-116.82</v>
      </c>
      <c r="C6">
        <v>119.63</v>
      </c>
      <c r="E6" t="s">
        <v>11</v>
      </c>
      <c r="G6">
        <f t="shared" si="1"/>
        <v>3.2699999999999818</v>
      </c>
      <c r="H6">
        <f t="shared" si="2"/>
        <v>-9.9999999999909051E-3</v>
      </c>
      <c r="I6">
        <f t="shared" si="3"/>
        <v>0.10999999999999943</v>
      </c>
    </row>
    <row r="7" spans="1:9" x14ac:dyDescent="0.25">
      <c r="A7">
        <v>219.83</v>
      </c>
      <c r="B7">
        <v>-116.81</v>
      </c>
      <c r="C7">
        <v>119.52</v>
      </c>
      <c r="E7" t="s">
        <v>147</v>
      </c>
      <c r="G7">
        <f t="shared" si="1"/>
        <v>2.4500000000000171</v>
      </c>
      <c r="H7">
        <f t="shared" si="2"/>
        <v>0</v>
      </c>
      <c r="I7">
        <f t="shared" si="3"/>
        <v>4.9999999999997158E-2</v>
      </c>
    </row>
    <row r="8" spans="1:9" x14ac:dyDescent="0.25">
      <c r="A8">
        <v>217.38</v>
      </c>
      <c r="B8">
        <v>-116.81</v>
      </c>
      <c r="C8">
        <v>119.47</v>
      </c>
      <c r="E8" t="s">
        <v>148</v>
      </c>
      <c r="G8">
        <f t="shared" si="1"/>
        <v>10.049999999999983</v>
      </c>
      <c r="H8">
        <f t="shared" si="2"/>
        <v>3.8199999999999932</v>
      </c>
      <c r="I8">
        <f t="shared" si="3"/>
        <v>2.769999999999996</v>
      </c>
    </row>
    <row r="9" spans="1:9" x14ac:dyDescent="0.25">
      <c r="A9">
        <v>207.33</v>
      </c>
      <c r="B9">
        <v>-120.63</v>
      </c>
      <c r="C9">
        <v>116.7</v>
      </c>
      <c r="E9" t="s">
        <v>149</v>
      </c>
    </row>
    <row r="10" spans="1:9" x14ac:dyDescent="0.25">
      <c r="A10">
        <v>220.27</v>
      </c>
      <c r="B10">
        <v>-116.97</v>
      </c>
      <c r="C10">
        <v>116.38</v>
      </c>
      <c r="E10" t="s">
        <v>113</v>
      </c>
      <c r="G10">
        <f t="shared" si="1"/>
        <v>7.0800000000000125</v>
      </c>
      <c r="H10">
        <f t="shared" si="2"/>
        <v>-1.1500000000000057</v>
      </c>
      <c r="I10">
        <f t="shared" si="3"/>
        <v>2.4200000000000017</v>
      </c>
    </row>
    <row r="11" spans="1:9" x14ac:dyDescent="0.25">
      <c r="A11">
        <v>213.19</v>
      </c>
      <c r="B11">
        <v>-115.82</v>
      </c>
      <c r="C11">
        <v>113.96</v>
      </c>
      <c r="E11" t="s">
        <v>114</v>
      </c>
      <c r="G11">
        <f t="shared" si="1"/>
        <v>1.3100000000000023</v>
      </c>
      <c r="H11">
        <f t="shared" si="2"/>
        <v>0.32000000000000739</v>
      </c>
      <c r="I11">
        <f t="shared" si="3"/>
        <v>-0.4100000000000108</v>
      </c>
    </row>
    <row r="12" spans="1:9" x14ac:dyDescent="0.25">
      <c r="A12">
        <v>211.88</v>
      </c>
      <c r="B12">
        <v>-116.14</v>
      </c>
      <c r="C12">
        <v>114.37</v>
      </c>
      <c r="E12" t="s">
        <v>115</v>
      </c>
      <c r="G12">
        <f t="shared" si="1"/>
        <v>2.3400000000000034</v>
      </c>
      <c r="H12">
        <f t="shared" si="2"/>
        <v>0</v>
      </c>
      <c r="I12">
        <f t="shared" si="3"/>
        <v>-6.0000000000002274E-2</v>
      </c>
    </row>
    <row r="13" spans="1:9" x14ac:dyDescent="0.25">
      <c r="A13">
        <v>209.54</v>
      </c>
      <c r="B13">
        <v>-116.14</v>
      </c>
      <c r="C13">
        <v>114.43</v>
      </c>
      <c r="E13" t="s">
        <v>116</v>
      </c>
      <c r="G13">
        <f t="shared" si="1"/>
        <v>2.5499999999999829</v>
      </c>
      <c r="H13">
        <f t="shared" si="2"/>
        <v>0</v>
      </c>
      <c r="I13">
        <f t="shared" si="3"/>
        <v>0.4100000000000108</v>
      </c>
    </row>
    <row r="14" spans="1:9" x14ac:dyDescent="0.25">
      <c r="A14">
        <v>206.99</v>
      </c>
      <c r="B14">
        <v>-116.14</v>
      </c>
      <c r="C14">
        <v>114.02</v>
      </c>
      <c r="E14" t="s">
        <v>118</v>
      </c>
      <c r="G14">
        <f t="shared" si="1"/>
        <v>4.7800000000000011</v>
      </c>
      <c r="H14">
        <f t="shared" si="2"/>
        <v>0.67000000000000171</v>
      </c>
      <c r="I14">
        <f t="shared" si="3"/>
        <v>-0.54999999999999716</v>
      </c>
    </row>
    <row r="15" spans="1:9" x14ac:dyDescent="0.25">
      <c r="A15">
        <v>202.21</v>
      </c>
      <c r="B15">
        <v>-116.81</v>
      </c>
      <c r="C15">
        <v>114.57</v>
      </c>
      <c r="E15" t="s">
        <v>119</v>
      </c>
      <c r="G15">
        <f t="shared" si="1"/>
        <v>2.4900000000000091</v>
      </c>
      <c r="H15">
        <f t="shared" si="2"/>
        <v>-0.10000000000000853</v>
      </c>
      <c r="I15">
        <f t="shared" si="3"/>
        <v>0.18999999999999773</v>
      </c>
    </row>
    <row r="16" spans="1:9" x14ac:dyDescent="0.25">
      <c r="A16">
        <v>199.72</v>
      </c>
      <c r="B16">
        <v>-116.71</v>
      </c>
      <c r="C16">
        <v>114.38</v>
      </c>
      <c r="E16" t="s">
        <v>120</v>
      </c>
      <c r="G16">
        <f t="shared" si="1"/>
        <v>1.4199999999999875</v>
      </c>
      <c r="H16">
        <f t="shared" si="2"/>
        <v>1.6800000000000068</v>
      </c>
      <c r="I16">
        <f t="shared" si="3"/>
        <v>-1.0400000000000063</v>
      </c>
    </row>
    <row r="17" spans="1:13" x14ac:dyDescent="0.25">
      <c r="A17">
        <v>198.3</v>
      </c>
      <c r="B17">
        <v>-118.39</v>
      </c>
      <c r="C17">
        <v>115.42</v>
      </c>
      <c r="E17" t="s">
        <v>121</v>
      </c>
      <c r="G17">
        <f t="shared" si="1"/>
        <v>2.7400000000000091</v>
      </c>
      <c r="H17">
        <f t="shared" si="2"/>
        <v>0</v>
      </c>
      <c r="I17">
        <f t="shared" si="3"/>
        <v>0.28000000000000114</v>
      </c>
    </row>
    <row r="18" spans="1:13" x14ac:dyDescent="0.25">
      <c r="A18">
        <v>195.56</v>
      </c>
      <c r="B18">
        <v>-118.39</v>
      </c>
      <c r="C18">
        <v>115.14</v>
      </c>
      <c r="E18" t="s">
        <v>122</v>
      </c>
      <c r="G18">
        <f t="shared" si="1"/>
        <v>4.6800000000000068</v>
      </c>
      <c r="H18">
        <f t="shared" si="2"/>
        <v>-0.15000000000000568</v>
      </c>
      <c r="I18">
        <f t="shared" si="3"/>
        <v>1.269999999999996</v>
      </c>
    </row>
    <row r="19" spans="1:13" x14ac:dyDescent="0.25">
      <c r="A19">
        <v>190.88</v>
      </c>
      <c r="B19">
        <v>-118.24</v>
      </c>
      <c r="C19">
        <v>113.87</v>
      </c>
      <c r="E19" t="s">
        <v>123</v>
      </c>
      <c r="G19">
        <f t="shared" si="1"/>
        <v>2.4199999999999875</v>
      </c>
      <c r="H19">
        <f t="shared" si="2"/>
        <v>0</v>
      </c>
      <c r="I19">
        <f t="shared" si="3"/>
        <v>-0.14999999999999147</v>
      </c>
    </row>
    <row r="20" spans="1:13" x14ac:dyDescent="0.25">
      <c r="A20">
        <v>188.46</v>
      </c>
      <c r="B20">
        <v>-118.24</v>
      </c>
      <c r="C20">
        <v>114.02</v>
      </c>
      <c r="E20" t="s">
        <v>124</v>
      </c>
      <c r="G20">
        <f t="shared" si="1"/>
        <v>2.6100000000000136</v>
      </c>
      <c r="H20">
        <f t="shared" si="2"/>
        <v>0</v>
      </c>
      <c r="I20">
        <f t="shared" si="3"/>
        <v>-0.21000000000000796</v>
      </c>
    </row>
    <row r="21" spans="1:13" x14ac:dyDescent="0.25">
      <c r="A21">
        <v>185.85</v>
      </c>
      <c r="B21">
        <v>-118.24</v>
      </c>
      <c r="C21">
        <v>114.23</v>
      </c>
      <c r="E21" t="s">
        <v>125</v>
      </c>
      <c r="G21">
        <f t="shared" si="1"/>
        <v>2.5900000000000034</v>
      </c>
      <c r="H21">
        <f t="shared" si="2"/>
        <v>-0.30999999999998806</v>
      </c>
      <c r="I21">
        <f t="shared" si="3"/>
        <v>0.14000000000000057</v>
      </c>
    </row>
    <row r="22" spans="1:13" x14ac:dyDescent="0.25">
      <c r="A22">
        <v>183.26</v>
      </c>
      <c r="B22">
        <v>-117.93</v>
      </c>
      <c r="C22">
        <v>114.09</v>
      </c>
      <c r="E22" t="s">
        <v>126</v>
      </c>
      <c r="G22">
        <f t="shared" si="1"/>
        <v>4.7699999999999818</v>
      </c>
      <c r="H22">
        <f t="shared" si="2"/>
        <v>0</v>
      </c>
      <c r="I22">
        <f t="shared" si="3"/>
        <v>0.21000000000000796</v>
      </c>
    </row>
    <row r="23" spans="1:13" x14ac:dyDescent="0.25">
      <c r="A23">
        <v>178.49</v>
      </c>
      <c r="B23">
        <v>-117.93</v>
      </c>
      <c r="C23">
        <v>113.88</v>
      </c>
      <c r="E23" t="s">
        <v>127</v>
      </c>
      <c r="G23">
        <f t="shared" si="1"/>
        <v>-2.2800000000000011</v>
      </c>
      <c r="H23">
        <f t="shared" si="2"/>
        <v>0</v>
      </c>
      <c r="I23">
        <f t="shared" si="3"/>
        <v>0</v>
      </c>
      <c r="L23">
        <v>0.5</v>
      </c>
      <c r="M23">
        <f>4/8</f>
        <v>0.5</v>
      </c>
    </row>
    <row r="24" spans="1:13" x14ac:dyDescent="0.25">
      <c r="A24">
        <v>180.77</v>
      </c>
      <c r="B24">
        <v>-117.93</v>
      </c>
      <c r="C24">
        <v>113.88</v>
      </c>
      <c r="E24" t="s">
        <v>128</v>
      </c>
      <c r="G24">
        <f t="shared" si="1"/>
        <v>4.9699999999999989</v>
      </c>
      <c r="H24">
        <f t="shared" si="2"/>
        <v>0.59999999999999432</v>
      </c>
      <c r="I24">
        <f t="shared" si="3"/>
        <v>-0.43999999999999773</v>
      </c>
      <c r="L24">
        <v>0.45</v>
      </c>
      <c r="M24">
        <f>10/22</f>
        <v>0.45454545454545453</v>
      </c>
    </row>
    <row r="25" spans="1:13" x14ac:dyDescent="0.25">
      <c r="A25">
        <v>175.8</v>
      </c>
      <c r="B25">
        <v>-118.53</v>
      </c>
      <c r="C25">
        <v>114.32</v>
      </c>
      <c r="E25" t="s">
        <v>129</v>
      </c>
      <c r="G25">
        <f t="shared" si="1"/>
        <v>1.9300000000000068</v>
      </c>
      <c r="H25">
        <f t="shared" si="2"/>
        <v>0.46999999999999886</v>
      </c>
      <c r="I25">
        <f t="shared" si="3"/>
        <v>-9.0000000000003411E-2</v>
      </c>
      <c r="L25" s="5"/>
    </row>
    <row r="26" spans="1:13" x14ac:dyDescent="0.25">
      <c r="A26">
        <v>173.87</v>
      </c>
      <c r="B26">
        <v>-119</v>
      </c>
      <c r="C26">
        <v>114.41</v>
      </c>
      <c r="E26" t="s">
        <v>130</v>
      </c>
      <c r="G26">
        <f t="shared" si="1"/>
        <v>2.4200000000000159</v>
      </c>
      <c r="H26">
        <f t="shared" si="2"/>
        <v>1.0000000000005116E-2</v>
      </c>
      <c r="I26">
        <f t="shared" si="3"/>
        <v>-0.24000000000000909</v>
      </c>
      <c r="L26">
        <v>0.40899999999999997</v>
      </c>
      <c r="M26">
        <f>9/22</f>
        <v>0.40909090909090912</v>
      </c>
    </row>
    <row r="27" spans="1:13" x14ac:dyDescent="0.25">
      <c r="A27">
        <v>171.45</v>
      </c>
      <c r="B27">
        <v>-119.01</v>
      </c>
      <c r="C27">
        <v>114.65</v>
      </c>
      <c r="E27" t="s">
        <v>131</v>
      </c>
      <c r="G27">
        <f t="shared" si="1"/>
        <v>2.7299999999999898</v>
      </c>
      <c r="H27">
        <f t="shared" si="2"/>
        <v>0</v>
      </c>
      <c r="I27">
        <f t="shared" si="3"/>
        <v>0.35999999999999943</v>
      </c>
    </row>
    <row r="28" spans="1:13" x14ac:dyDescent="0.25">
      <c r="A28">
        <v>168.72</v>
      </c>
      <c r="B28">
        <v>-119.01</v>
      </c>
      <c r="C28">
        <v>114.29</v>
      </c>
      <c r="E28" t="s">
        <v>132</v>
      </c>
      <c r="J28">
        <f>A28-A29</f>
        <v>0</v>
      </c>
      <c r="K28">
        <f>B28-B29</f>
        <v>-7.4100000000000108</v>
      </c>
      <c r="L28">
        <f>C28-C29</f>
        <v>-0.36999999999999034</v>
      </c>
    </row>
    <row r="29" spans="1:13" x14ac:dyDescent="0.25">
      <c r="A29">
        <v>168.72</v>
      </c>
      <c r="B29">
        <v>-111.6</v>
      </c>
      <c r="C29">
        <v>114.66</v>
      </c>
      <c r="E29" t="s">
        <v>112</v>
      </c>
      <c r="G29">
        <f t="shared" si="1"/>
        <v>-2.6500000000000057</v>
      </c>
      <c r="H29">
        <f t="shared" si="2"/>
        <v>0</v>
      </c>
      <c r="I29">
        <f t="shared" si="3"/>
        <v>9.9999999999994316E-2</v>
      </c>
    </row>
    <row r="30" spans="1:13" x14ac:dyDescent="0.25">
      <c r="A30">
        <v>171.37</v>
      </c>
      <c r="B30">
        <v>-111.6</v>
      </c>
      <c r="C30">
        <v>114.56</v>
      </c>
      <c r="E30" t="s">
        <v>111</v>
      </c>
      <c r="G30">
        <f t="shared" si="1"/>
        <v>-2.6099999999999852</v>
      </c>
      <c r="H30">
        <f t="shared" si="2"/>
        <v>0</v>
      </c>
      <c r="I30">
        <f t="shared" si="3"/>
        <v>0</v>
      </c>
    </row>
    <row r="31" spans="1:13" x14ac:dyDescent="0.25">
      <c r="A31">
        <v>173.98</v>
      </c>
      <c r="B31">
        <v>-111.6</v>
      </c>
      <c r="C31">
        <v>114.56</v>
      </c>
      <c r="E31" t="s">
        <v>110</v>
      </c>
      <c r="G31">
        <f t="shared" si="1"/>
        <v>-2.4099999999999966</v>
      </c>
      <c r="H31">
        <f t="shared" si="2"/>
        <v>-0.22999999999998977</v>
      </c>
      <c r="I31">
        <f t="shared" si="3"/>
        <v>4.0000000000006253E-2</v>
      </c>
      <c r="L31">
        <f>6/22</f>
        <v>0.27272727272727271</v>
      </c>
      <c r="M31">
        <f>6/22</f>
        <v>0.27272727272727271</v>
      </c>
    </row>
    <row r="32" spans="1:13" x14ac:dyDescent="0.25">
      <c r="A32">
        <v>176.39</v>
      </c>
      <c r="B32">
        <v>-111.37</v>
      </c>
      <c r="C32">
        <v>114.52</v>
      </c>
      <c r="E32" t="s">
        <v>109</v>
      </c>
      <c r="G32">
        <f t="shared" si="1"/>
        <v>-2.7800000000000011</v>
      </c>
      <c r="H32">
        <f t="shared" si="2"/>
        <v>0</v>
      </c>
      <c r="I32">
        <f t="shared" si="3"/>
        <v>0.35999999999999943</v>
      </c>
    </row>
    <row r="33" spans="1:12" x14ac:dyDescent="0.25">
      <c r="A33">
        <v>179.17</v>
      </c>
      <c r="B33">
        <v>-111.37</v>
      </c>
      <c r="C33">
        <v>114.16</v>
      </c>
      <c r="E33" t="s">
        <v>108</v>
      </c>
      <c r="G33">
        <f t="shared" si="1"/>
        <v>-2.3800000000000239</v>
      </c>
      <c r="H33">
        <f t="shared" si="2"/>
        <v>-0.49000000000000909</v>
      </c>
      <c r="I33">
        <f t="shared" si="3"/>
        <v>-0.26000000000000512</v>
      </c>
    </row>
    <row r="34" spans="1:12" x14ac:dyDescent="0.25">
      <c r="A34">
        <v>181.55</v>
      </c>
      <c r="B34">
        <v>-110.88</v>
      </c>
      <c r="C34">
        <v>114.42</v>
      </c>
      <c r="E34" t="s">
        <v>107</v>
      </c>
      <c r="G34">
        <f t="shared" si="1"/>
        <v>-2.0499999999999829</v>
      </c>
      <c r="H34">
        <f t="shared" si="2"/>
        <v>0</v>
      </c>
      <c r="I34">
        <f t="shared" si="3"/>
        <v>0.10000000000000853</v>
      </c>
    </row>
    <row r="35" spans="1:12" x14ac:dyDescent="0.25">
      <c r="A35">
        <v>183.6</v>
      </c>
      <c r="B35">
        <v>-110.88</v>
      </c>
      <c r="C35">
        <v>114.32</v>
      </c>
      <c r="E35" t="s">
        <v>106</v>
      </c>
      <c r="G35">
        <f t="shared" si="1"/>
        <v>-2.5699999999999932</v>
      </c>
      <c r="H35">
        <f t="shared" si="2"/>
        <v>0.70000000000000284</v>
      </c>
      <c r="I35">
        <f t="shared" si="3"/>
        <v>2.0099999999999909</v>
      </c>
    </row>
    <row r="36" spans="1:12" x14ac:dyDescent="0.25">
      <c r="A36">
        <v>186.17</v>
      </c>
      <c r="B36">
        <v>-111.58</v>
      </c>
      <c r="C36">
        <v>112.31</v>
      </c>
      <c r="E36" t="s">
        <v>105</v>
      </c>
      <c r="G36">
        <f t="shared" si="1"/>
        <v>1.1799999999999784</v>
      </c>
      <c r="H36">
        <f t="shared" si="2"/>
        <v>0.71000000000000796</v>
      </c>
      <c r="I36">
        <f t="shared" si="3"/>
        <v>0.46999999999999886</v>
      </c>
    </row>
    <row r="37" spans="1:12" x14ac:dyDescent="0.25">
      <c r="A37">
        <v>184.99</v>
      </c>
      <c r="B37">
        <v>-112.29</v>
      </c>
      <c r="C37">
        <v>111.84</v>
      </c>
      <c r="E37" t="s">
        <v>104</v>
      </c>
      <c r="G37">
        <f t="shared" si="1"/>
        <v>-2.6899999999999977</v>
      </c>
      <c r="H37">
        <f t="shared" si="2"/>
        <v>0</v>
      </c>
      <c r="I37">
        <f t="shared" si="3"/>
        <v>-0.70000000000000284</v>
      </c>
    </row>
    <row r="38" spans="1:12" x14ac:dyDescent="0.25">
      <c r="A38">
        <v>187.68</v>
      </c>
      <c r="B38">
        <v>-112.29</v>
      </c>
      <c r="C38">
        <v>112.54</v>
      </c>
      <c r="E38" t="s">
        <v>103</v>
      </c>
      <c r="G38">
        <f t="shared" si="1"/>
        <v>-2.5999999999999943</v>
      </c>
      <c r="H38">
        <f t="shared" si="2"/>
        <v>0</v>
      </c>
      <c r="I38">
        <f t="shared" si="3"/>
        <v>0.14000000000000057</v>
      </c>
    </row>
    <row r="39" spans="1:12" x14ac:dyDescent="0.25">
      <c r="A39">
        <v>190.28</v>
      </c>
      <c r="B39">
        <v>-112.29</v>
      </c>
      <c r="C39">
        <v>112.4</v>
      </c>
      <c r="E39" t="s">
        <v>102</v>
      </c>
      <c r="G39">
        <f t="shared" si="1"/>
        <v>-2.4300000000000068</v>
      </c>
      <c r="H39">
        <f t="shared" si="2"/>
        <v>0</v>
      </c>
      <c r="I39">
        <f t="shared" si="3"/>
        <v>0.71999999999999886</v>
      </c>
    </row>
    <row r="40" spans="1:12" x14ac:dyDescent="0.25">
      <c r="A40">
        <v>192.71</v>
      </c>
      <c r="B40">
        <v>-112.29</v>
      </c>
      <c r="C40">
        <v>111.68</v>
      </c>
      <c r="E40" t="s">
        <v>101</v>
      </c>
      <c r="G40">
        <f t="shared" si="1"/>
        <v>-2.5999999999999943</v>
      </c>
      <c r="H40">
        <f t="shared" si="2"/>
        <v>0</v>
      </c>
      <c r="I40">
        <f t="shared" si="3"/>
        <v>-0.68999999999999773</v>
      </c>
    </row>
    <row r="41" spans="1:12" x14ac:dyDescent="0.25">
      <c r="A41">
        <v>195.31</v>
      </c>
      <c r="B41">
        <v>-112.29</v>
      </c>
      <c r="C41">
        <v>112.37</v>
      </c>
      <c r="E41" t="s">
        <v>100</v>
      </c>
      <c r="G41">
        <f t="shared" si="1"/>
        <v>-2.6200000000000045</v>
      </c>
      <c r="H41">
        <f t="shared" si="2"/>
        <v>0</v>
      </c>
      <c r="I41">
        <f t="shared" si="3"/>
        <v>-3.9999999999992042E-2</v>
      </c>
    </row>
    <row r="42" spans="1:12" x14ac:dyDescent="0.25">
      <c r="A42">
        <v>197.93</v>
      </c>
      <c r="B42">
        <v>-112.29</v>
      </c>
      <c r="C42">
        <v>112.41</v>
      </c>
      <c r="E42" t="s">
        <v>99</v>
      </c>
      <c r="G42">
        <f t="shared" si="1"/>
        <v>-2.9399999999999977</v>
      </c>
      <c r="H42">
        <f t="shared" si="2"/>
        <v>-0.35999999999999943</v>
      </c>
      <c r="I42">
        <f t="shared" si="3"/>
        <v>2.2000000000000028</v>
      </c>
    </row>
    <row r="43" spans="1:12" x14ac:dyDescent="0.25">
      <c r="A43">
        <v>200.87</v>
      </c>
      <c r="B43">
        <v>-111.93</v>
      </c>
      <c r="C43">
        <v>110.21</v>
      </c>
      <c r="E43" t="s">
        <v>98</v>
      </c>
      <c r="G43">
        <f t="shared" si="1"/>
        <v>-2.7400000000000091</v>
      </c>
      <c r="H43">
        <f t="shared" si="2"/>
        <v>0.55999999999998806</v>
      </c>
      <c r="I43">
        <f t="shared" si="3"/>
        <v>-1.6300000000000097</v>
      </c>
    </row>
    <row r="44" spans="1:12" x14ac:dyDescent="0.25">
      <c r="A44">
        <v>203.61</v>
      </c>
      <c r="B44">
        <v>-112.49</v>
      </c>
      <c r="C44">
        <v>111.84</v>
      </c>
      <c r="E44" t="s">
        <v>97</v>
      </c>
      <c r="G44">
        <f t="shared" si="1"/>
        <v>-2.2599999999999909</v>
      </c>
      <c r="H44">
        <f t="shared" si="2"/>
        <v>0</v>
      </c>
      <c r="I44">
        <f t="shared" si="3"/>
        <v>-1.0300000000000011</v>
      </c>
    </row>
    <row r="45" spans="1:12" x14ac:dyDescent="0.25">
      <c r="A45">
        <v>205.87</v>
      </c>
      <c r="B45">
        <v>-112.49</v>
      </c>
      <c r="C45">
        <v>112.87</v>
      </c>
      <c r="E45" t="s">
        <v>96</v>
      </c>
      <c r="G45">
        <f t="shared" si="1"/>
        <v>-2.5999999999999943</v>
      </c>
      <c r="H45">
        <f t="shared" si="2"/>
        <v>-0.81999999999999318</v>
      </c>
      <c r="I45">
        <f t="shared" si="3"/>
        <v>0.78000000000000114</v>
      </c>
    </row>
    <row r="46" spans="1:12" x14ac:dyDescent="0.25">
      <c r="A46">
        <v>208.47</v>
      </c>
      <c r="B46">
        <v>-111.67</v>
      </c>
      <c r="C46">
        <v>112.09</v>
      </c>
      <c r="E46" t="s">
        <v>95</v>
      </c>
      <c r="G46">
        <f t="shared" si="1"/>
        <v>-2.0600000000000023</v>
      </c>
      <c r="H46">
        <f t="shared" si="2"/>
        <v>1.0000000000005116E-2</v>
      </c>
      <c r="I46">
        <f t="shared" si="3"/>
        <v>-0.28999999999999204</v>
      </c>
    </row>
    <row r="47" spans="1:12" x14ac:dyDescent="0.25">
      <c r="A47">
        <v>210.53</v>
      </c>
      <c r="B47">
        <v>-111.68</v>
      </c>
      <c r="C47">
        <v>112.38</v>
      </c>
      <c r="E47" t="s">
        <v>94</v>
      </c>
      <c r="G47">
        <f t="shared" si="1"/>
        <v>-2.8799999999999955</v>
      </c>
      <c r="H47">
        <f t="shared" si="2"/>
        <v>0.70999999999999375</v>
      </c>
      <c r="I47">
        <f t="shared" si="3"/>
        <v>-0.1600000000000108</v>
      </c>
    </row>
    <row r="48" spans="1:12" x14ac:dyDescent="0.25">
      <c r="A48">
        <v>213.41</v>
      </c>
      <c r="B48">
        <v>-112.39</v>
      </c>
      <c r="C48">
        <v>112.54</v>
      </c>
      <c r="E48" t="s">
        <v>93</v>
      </c>
      <c r="J48">
        <f>A48-A49</f>
        <v>0</v>
      </c>
      <c r="K48">
        <f>B48-B49</f>
        <v>-8.1299999999999955</v>
      </c>
      <c r="L48">
        <f>C48-C49</f>
        <v>1.3900000000000006</v>
      </c>
    </row>
    <row r="49" spans="1:9" x14ac:dyDescent="0.25">
      <c r="A49">
        <v>213.41</v>
      </c>
      <c r="B49">
        <v>-104.26</v>
      </c>
      <c r="C49">
        <v>111.15</v>
      </c>
      <c r="E49" t="s">
        <v>73</v>
      </c>
      <c r="G49">
        <f t="shared" si="1"/>
        <v>2.289999999999992</v>
      </c>
      <c r="H49">
        <f t="shared" si="2"/>
        <v>0.70999999999999375</v>
      </c>
      <c r="I49">
        <f t="shared" si="3"/>
        <v>-1.3999999999999915</v>
      </c>
    </row>
    <row r="50" spans="1:9" x14ac:dyDescent="0.25">
      <c r="A50">
        <v>211.12</v>
      </c>
      <c r="B50">
        <v>-104.97</v>
      </c>
      <c r="C50">
        <v>112.55</v>
      </c>
      <c r="E50" t="s">
        <v>74</v>
      </c>
      <c r="G50">
        <f t="shared" si="1"/>
        <v>1.1400000000000148</v>
      </c>
      <c r="H50">
        <f t="shared" si="2"/>
        <v>0.42000000000000171</v>
      </c>
      <c r="I50">
        <f t="shared" si="3"/>
        <v>-0.68000000000000682</v>
      </c>
    </row>
    <row r="51" spans="1:9" x14ac:dyDescent="0.25">
      <c r="A51">
        <v>209.98</v>
      </c>
      <c r="B51">
        <v>-105.39</v>
      </c>
      <c r="C51">
        <v>113.23</v>
      </c>
      <c r="E51" t="s">
        <v>75</v>
      </c>
      <c r="G51">
        <f t="shared" si="1"/>
        <v>2.8699999999999761</v>
      </c>
      <c r="H51">
        <f t="shared" si="2"/>
        <v>0</v>
      </c>
      <c r="I51">
        <f t="shared" si="3"/>
        <v>1.3299999999999983</v>
      </c>
    </row>
    <row r="52" spans="1:9" x14ac:dyDescent="0.25">
      <c r="A52">
        <v>207.11</v>
      </c>
      <c r="B52">
        <v>-105.39</v>
      </c>
      <c r="C52">
        <v>111.9</v>
      </c>
      <c r="E52" t="s">
        <v>76</v>
      </c>
      <c r="G52">
        <f t="shared" si="1"/>
        <v>2.0700000000000216</v>
      </c>
      <c r="H52">
        <f t="shared" si="2"/>
        <v>0</v>
      </c>
      <c r="I52">
        <f t="shared" si="3"/>
        <v>-0.86999999999999034</v>
      </c>
    </row>
    <row r="53" spans="1:9" x14ac:dyDescent="0.25">
      <c r="A53">
        <v>205.04</v>
      </c>
      <c r="B53">
        <v>-105.39</v>
      </c>
      <c r="C53">
        <v>112.77</v>
      </c>
      <c r="E53" t="s">
        <v>77</v>
      </c>
      <c r="G53">
        <f t="shared" si="1"/>
        <v>2.9599999999999795</v>
      </c>
      <c r="H53">
        <f t="shared" si="2"/>
        <v>0.34999999999999432</v>
      </c>
      <c r="I53">
        <f t="shared" si="3"/>
        <v>-0.81000000000000227</v>
      </c>
    </row>
    <row r="54" spans="1:9" x14ac:dyDescent="0.25">
      <c r="A54">
        <v>202.08</v>
      </c>
      <c r="B54">
        <v>-105.74</v>
      </c>
      <c r="C54">
        <v>113.58</v>
      </c>
      <c r="E54" t="s">
        <v>78</v>
      </c>
      <c r="G54">
        <f t="shared" si="1"/>
        <v>2.710000000000008</v>
      </c>
      <c r="H54">
        <f t="shared" si="2"/>
        <v>0</v>
      </c>
      <c r="I54">
        <f t="shared" si="3"/>
        <v>6.9999999999993179E-2</v>
      </c>
    </row>
    <row r="55" spans="1:9" x14ac:dyDescent="0.25">
      <c r="A55">
        <v>199.37</v>
      </c>
      <c r="B55">
        <v>-105.74</v>
      </c>
      <c r="C55">
        <v>113.51</v>
      </c>
      <c r="E55" t="s">
        <v>79</v>
      </c>
      <c r="G55">
        <f t="shared" si="1"/>
        <v>2.5900000000000034</v>
      </c>
      <c r="H55">
        <f t="shared" si="2"/>
        <v>0</v>
      </c>
      <c r="I55">
        <f t="shared" si="3"/>
        <v>2.5100000000000051</v>
      </c>
    </row>
    <row r="56" spans="1:9" x14ac:dyDescent="0.25">
      <c r="A56">
        <v>196.78</v>
      </c>
      <c r="B56">
        <v>-105.74</v>
      </c>
      <c r="C56">
        <v>111</v>
      </c>
      <c r="E56" t="s">
        <v>80</v>
      </c>
      <c r="G56">
        <f t="shared" si="1"/>
        <v>1.8499999999999943</v>
      </c>
      <c r="H56">
        <f t="shared" si="2"/>
        <v>0</v>
      </c>
      <c r="I56">
        <f t="shared" si="3"/>
        <v>-2.4399999999999977</v>
      </c>
    </row>
    <row r="57" spans="1:9" x14ac:dyDescent="0.25">
      <c r="A57">
        <v>194.93</v>
      </c>
      <c r="B57">
        <v>-105.74</v>
      </c>
      <c r="C57">
        <v>113.44</v>
      </c>
      <c r="E57" t="s">
        <v>81</v>
      </c>
      <c r="G57">
        <f t="shared" si="1"/>
        <v>2.710000000000008</v>
      </c>
      <c r="H57">
        <f t="shared" si="2"/>
        <v>0</v>
      </c>
      <c r="I57">
        <f t="shared" si="3"/>
        <v>-7.9999999999998295E-2</v>
      </c>
    </row>
    <row r="58" spans="1:9" x14ac:dyDescent="0.25">
      <c r="A58">
        <v>192.22</v>
      </c>
      <c r="B58">
        <v>-105.74</v>
      </c>
      <c r="C58">
        <v>113.52</v>
      </c>
      <c r="E58" t="s">
        <v>82</v>
      </c>
      <c r="G58">
        <f t="shared" si="1"/>
        <v>2.5300000000000011</v>
      </c>
      <c r="H58">
        <f t="shared" si="2"/>
        <v>0</v>
      </c>
      <c r="I58">
        <f t="shared" si="3"/>
        <v>1.039999999999992</v>
      </c>
    </row>
    <row r="59" spans="1:9" x14ac:dyDescent="0.25">
      <c r="A59">
        <v>189.69</v>
      </c>
      <c r="B59">
        <v>-105.74</v>
      </c>
      <c r="C59">
        <v>112.48</v>
      </c>
      <c r="E59" t="s">
        <v>83</v>
      </c>
      <c r="G59">
        <f t="shared" si="1"/>
        <v>2.4300000000000068</v>
      </c>
      <c r="H59">
        <f t="shared" si="2"/>
        <v>0</v>
      </c>
      <c r="I59">
        <f t="shared" si="3"/>
        <v>-0.93999999999999773</v>
      </c>
    </row>
    <row r="60" spans="1:9" x14ac:dyDescent="0.25">
      <c r="A60">
        <v>187.26</v>
      </c>
      <c r="B60">
        <v>-105.74</v>
      </c>
      <c r="C60">
        <v>113.42</v>
      </c>
      <c r="E60" t="s">
        <v>84</v>
      </c>
      <c r="G60">
        <f t="shared" si="1"/>
        <v>2.8899999999999864</v>
      </c>
      <c r="H60">
        <f t="shared" si="2"/>
        <v>0.35000000000000853</v>
      </c>
      <c r="I60">
        <f t="shared" si="3"/>
        <v>1.1400000000000006</v>
      </c>
    </row>
    <row r="61" spans="1:9" x14ac:dyDescent="0.25">
      <c r="A61">
        <v>184.37</v>
      </c>
      <c r="B61">
        <v>-106.09</v>
      </c>
      <c r="C61">
        <v>112.28</v>
      </c>
      <c r="E61" t="s">
        <v>85</v>
      </c>
      <c r="G61">
        <f t="shared" si="1"/>
        <v>2.6200000000000045</v>
      </c>
      <c r="H61">
        <f t="shared" si="2"/>
        <v>0</v>
      </c>
      <c r="I61">
        <f t="shared" si="3"/>
        <v>-1.1500000000000057</v>
      </c>
    </row>
    <row r="62" spans="1:9" x14ac:dyDescent="0.25">
      <c r="A62">
        <v>181.75</v>
      </c>
      <c r="B62">
        <v>-106.09</v>
      </c>
      <c r="C62">
        <v>113.43</v>
      </c>
      <c r="E62" t="s">
        <v>86</v>
      </c>
      <c r="G62">
        <f t="shared" si="1"/>
        <v>2.1200000000000045</v>
      </c>
      <c r="H62">
        <f t="shared" si="2"/>
        <v>0</v>
      </c>
      <c r="I62">
        <f t="shared" si="3"/>
        <v>9.0000000000003411E-2</v>
      </c>
    </row>
    <row r="63" spans="1:9" x14ac:dyDescent="0.25">
      <c r="A63">
        <v>179.63</v>
      </c>
      <c r="B63">
        <v>-106.09</v>
      </c>
      <c r="C63">
        <v>113.34</v>
      </c>
      <c r="E63" t="s">
        <v>87</v>
      </c>
      <c r="G63">
        <f t="shared" si="1"/>
        <v>2.8700000000000045</v>
      </c>
      <c r="H63">
        <f t="shared" si="2"/>
        <v>0</v>
      </c>
      <c r="I63">
        <f t="shared" si="3"/>
        <v>0.18000000000000682</v>
      </c>
    </row>
    <row r="64" spans="1:9" x14ac:dyDescent="0.25">
      <c r="A64">
        <v>176.76</v>
      </c>
      <c r="B64">
        <v>-106.09</v>
      </c>
      <c r="C64">
        <v>113.16</v>
      </c>
      <c r="E64" t="s">
        <v>88</v>
      </c>
      <c r="G64">
        <f t="shared" si="1"/>
        <v>2.3400000000000034</v>
      </c>
      <c r="H64">
        <f t="shared" si="2"/>
        <v>0</v>
      </c>
      <c r="I64">
        <f t="shared" si="3"/>
        <v>-3.0000000000001137E-2</v>
      </c>
    </row>
    <row r="65" spans="1:9" x14ac:dyDescent="0.25">
      <c r="A65">
        <v>174.42</v>
      </c>
      <c r="B65">
        <v>-106.09</v>
      </c>
      <c r="C65">
        <v>113.19</v>
      </c>
      <c r="E65" t="s">
        <v>89</v>
      </c>
      <c r="G65">
        <f t="shared" si="1"/>
        <v>2.6599999999999966</v>
      </c>
      <c r="H65">
        <f t="shared" si="2"/>
        <v>-6.0000000000002274E-2</v>
      </c>
      <c r="I65">
        <f t="shared" si="3"/>
        <v>-0.10999999999999943</v>
      </c>
    </row>
    <row r="66" spans="1:9" x14ac:dyDescent="0.25">
      <c r="A66">
        <v>171.76</v>
      </c>
      <c r="B66">
        <v>-106.03</v>
      </c>
      <c r="C66">
        <v>113.3</v>
      </c>
      <c r="E66" t="s">
        <v>90</v>
      </c>
      <c r="G66">
        <f t="shared" si="1"/>
        <v>2.0799999999999841</v>
      </c>
      <c r="H66">
        <f t="shared" si="2"/>
        <v>0.42999999999999261</v>
      </c>
      <c r="I66">
        <f t="shared" si="3"/>
        <v>-0.39000000000000057</v>
      </c>
    </row>
    <row r="67" spans="1:9" x14ac:dyDescent="0.25">
      <c r="A67">
        <v>169.68</v>
      </c>
      <c r="B67">
        <v>-106.46</v>
      </c>
      <c r="C67">
        <v>113.69</v>
      </c>
      <c r="E67" t="s">
        <v>91</v>
      </c>
      <c r="G67">
        <f t="shared" ref="G67:G128" si="4">A67-A68</f>
        <v>2.4500000000000171</v>
      </c>
      <c r="H67">
        <f t="shared" ref="H67:H128" si="5">B67-B68</f>
        <v>0</v>
      </c>
      <c r="I67">
        <f t="shared" ref="I67:I128" si="6">C67-C68</f>
        <v>-0.26000000000000512</v>
      </c>
    </row>
    <row r="68" spans="1:9" x14ac:dyDescent="0.25">
      <c r="A68">
        <v>167.23</v>
      </c>
      <c r="B68">
        <v>-106.46</v>
      </c>
      <c r="C68">
        <v>113.95</v>
      </c>
      <c r="E68" t="s">
        <v>92</v>
      </c>
    </row>
    <row r="69" spans="1:9" x14ac:dyDescent="0.25">
      <c r="A69">
        <v>215.4</v>
      </c>
      <c r="B69">
        <v>-97.94</v>
      </c>
      <c r="C69">
        <v>113.73</v>
      </c>
      <c r="E69" t="s">
        <v>150</v>
      </c>
      <c r="G69">
        <f t="shared" si="4"/>
        <v>2.1800000000000068</v>
      </c>
      <c r="H69">
        <f t="shared" si="5"/>
        <v>1.1200000000000045</v>
      </c>
      <c r="I69">
        <f t="shared" si="6"/>
        <v>-0.21999999999999886</v>
      </c>
    </row>
    <row r="70" spans="1:9" x14ac:dyDescent="0.25">
      <c r="A70">
        <v>213.22</v>
      </c>
      <c r="B70">
        <v>-99.06</v>
      </c>
      <c r="C70">
        <v>113.95</v>
      </c>
      <c r="E70" t="s">
        <v>151</v>
      </c>
      <c r="G70">
        <f t="shared" si="4"/>
        <v>2.5099999999999909</v>
      </c>
      <c r="H70">
        <f t="shared" si="5"/>
        <v>-0.29999999999999716</v>
      </c>
      <c r="I70">
        <f t="shared" si="6"/>
        <v>-0.21999999999999886</v>
      </c>
    </row>
    <row r="71" spans="1:9" x14ac:dyDescent="0.25">
      <c r="A71">
        <v>210.71</v>
      </c>
      <c r="B71">
        <v>-98.76</v>
      </c>
      <c r="C71">
        <v>114.17</v>
      </c>
      <c r="E71" t="s">
        <v>152</v>
      </c>
      <c r="G71">
        <f t="shared" si="4"/>
        <v>2.7900000000000205</v>
      </c>
      <c r="H71">
        <f t="shared" si="5"/>
        <v>0</v>
      </c>
      <c r="I71">
        <f t="shared" si="6"/>
        <v>0.37000000000000455</v>
      </c>
    </row>
    <row r="72" spans="1:9" x14ac:dyDescent="0.25">
      <c r="A72">
        <v>207.92</v>
      </c>
      <c r="B72">
        <v>-98.76</v>
      </c>
      <c r="C72">
        <v>113.8</v>
      </c>
      <c r="E72" t="s">
        <v>153</v>
      </c>
      <c r="G72">
        <f t="shared" si="4"/>
        <v>2.2800000000000011</v>
      </c>
      <c r="H72">
        <f t="shared" si="5"/>
        <v>0</v>
      </c>
      <c r="I72">
        <f t="shared" si="6"/>
        <v>0.75</v>
      </c>
    </row>
    <row r="73" spans="1:9" x14ac:dyDescent="0.25">
      <c r="A73">
        <v>205.64</v>
      </c>
      <c r="B73">
        <v>-98.76</v>
      </c>
      <c r="C73">
        <v>113.05</v>
      </c>
      <c r="E73" t="s">
        <v>154</v>
      </c>
      <c r="G73">
        <f t="shared" si="4"/>
        <v>2.3599999999999852</v>
      </c>
      <c r="H73">
        <f t="shared" si="5"/>
        <v>0</v>
      </c>
      <c r="I73">
        <f t="shared" si="6"/>
        <v>-1.1099999999999994</v>
      </c>
    </row>
    <row r="74" spans="1:9" x14ac:dyDescent="0.25">
      <c r="A74">
        <v>203.28</v>
      </c>
      <c r="B74">
        <v>-98.76</v>
      </c>
      <c r="C74">
        <v>114.16</v>
      </c>
      <c r="E74" t="s">
        <v>155</v>
      </c>
      <c r="G74">
        <f t="shared" si="4"/>
        <v>2.1100000000000136</v>
      </c>
      <c r="H74">
        <f t="shared" si="5"/>
        <v>0.11999999999999034</v>
      </c>
      <c r="I74">
        <f t="shared" si="6"/>
        <v>0.22999999999998977</v>
      </c>
    </row>
    <row r="75" spans="1:9" x14ac:dyDescent="0.25">
      <c r="A75">
        <v>201.17</v>
      </c>
      <c r="B75">
        <v>-98.88</v>
      </c>
      <c r="C75">
        <v>113.93</v>
      </c>
      <c r="E75" t="s">
        <v>156</v>
      </c>
      <c r="G75">
        <f t="shared" si="4"/>
        <v>2.2199999999999989</v>
      </c>
      <c r="H75">
        <f t="shared" si="5"/>
        <v>-0.10999999999999943</v>
      </c>
      <c r="I75">
        <f t="shared" si="6"/>
        <v>-0.66999999999998749</v>
      </c>
    </row>
    <row r="76" spans="1:9" x14ac:dyDescent="0.25">
      <c r="A76">
        <v>198.95</v>
      </c>
      <c r="B76">
        <v>-98.77</v>
      </c>
      <c r="C76">
        <v>114.6</v>
      </c>
      <c r="E76" t="s">
        <v>157</v>
      </c>
      <c r="G76">
        <f t="shared" si="4"/>
        <v>3.0600000000000023</v>
      </c>
      <c r="H76">
        <f t="shared" si="5"/>
        <v>1.0000000000005116E-2</v>
      </c>
      <c r="I76">
        <f t="shared" si="6"/>
        <v>0.41999999999998749</v>
      </c>
    </row>
    <row r="77" spans="1:9" x14ac:dyDescent="0.25">
      <c r="A77">
        <v>195.89</v>
      </c>
      <c r="B77">
        <v>-98.78</v>
      </c>
      <c r="C77">
        <v>114.18</v>
      </c>
      <c r="E77" t="s">
        <v>158</v>
      </c>
      <c r="G77">
        <f t="shared" si="4"/>
        <v>1.9799999999999898</v>
      </c>
      <c r="H77">
        <f t="shared" si="5"/>
        <v>-3.0000000000001137E-2</v>
      </c>
      <c r="I77">
        <f t="shared" si="6"/>
        <v>-9.9999999999994316E-2</v>
      </c>
    </row>
    <row r="78" spans="1:9" x14ac:dyDescent="0.25">
      <c r="A78">
        <v>193.91</v>
      </c>
      <c r="B78">
        <v>-98.75</v>
      </c>
      <c r="C78">
        <v>114.28</v>
      </c>
      <c r="E78" t="s">
        <v>159</v>
      </c>
      <c r="G78">
        <f t="shared" si="4"/>
        <v>3.2400000000000091</v>
      </c>
      <c r="H78">
        <f t="shared" si="5"/>
        <v>0</v>
      </c>
      <c r="I78">
        <f t="shared" si="6"/>
        <v>-0.26999999999999602</v>
      </c>
    </row>
    <row r="79" spans="1:9" x14ac:dyDescent="0.25">
      <c r="A79">
        <v>190.67</v>
      </c>
      <c r="B79">
        <v>-98.75</v>
      </c>
      <c r="C79">
        <v>114.55</v>
      </c>
      <c r="E79" t="s">
        <v>160</v>
      </c>
      <c r="G79">
        <f t="shared" si="4"/>
        <v>2.3899999999999864</v>
      </c>
      <c r="H79">
        <f t="shared" si="5"/>
        <v>0</v>
      </c>
      <c r="I79">
        <f t="shared" si="6"/>
        <v>0.14000000000000057</v>
      </c>
    </row>
    <row r="80" spans="1:9" x14ac:dyDescent="0.25">
      <c r="A80">
        <v>188.28</v>
      </c>
      <c r="B80">
        <v>-98.75</v>
      </c>
      <c r="C80">
        <v>114.41</v>
      </c>
      <c r="E80" t="s">
        <v>161</v>
      </c>
      <c r="G80">
        <f t="shared" si="4"/>
        <v>2.4199999999999875</v>
      </c>
      <c r="H80">
        <f t="shared" si="5"/>
        <v>0</v>
      </c>
      <c r="I80">
        <f t="shared" si="6"/>
        <v>0</v>
      </c>
    </row>
    <row r="81" spans="1:13" x14ac:dyDescent="0.25">
      <c r="A81">
        <v>185.86</v>
      </c>
      <c r="B81">
        <v>-98.75</v>
      </c>
      <c r="C81">
        <v>114.41</v>
      </c>
      <c r="E81" t="s">
        <v>162</v>
      </c>
      <c r="G81">
        <f t="shared" si="4"/>
        <v>2.8000000000000114</v>
      </c>
      <c r="H81">
        <f t="shared" si="5"/>
        <v>0</v>
      </c>
      <c r="I81">
        <f t="shared" si="6"/>
        <v>3.0000000000001137E-2</v>
      </c>
      <c r="M81">
        <f>8/22</f>
        <v>0.36363636363636365</v>
      </c>
    </row>
    <row r="82" spans="1:13" x14ac:dyDescent="0.25">
      <c r="A82">
        <v>183.06</v>
      </c>
      <c r="B82">
        <v>-98.75</v>
      </c>
      <c r="C82">
        <v>114.38</v>
      </c>
      <c r="E82" t="s">
        <v>163</v>
      </c>
      <c r="G82">
        <f t="shared" si="4"/>
        <v>2.5300000000000011</v>
      </c>
      <c r="H82">
        <f t="shared" si="5"/>
        <v>0</v>
      </c>
      <c r="I82">
        <f t="shared" si="6"/>
        <v>7.9999999999998295E-2</v>
      </c>
    </row>
    <row r="83" spans="1:13" x14ac:dyDescent="0.25">
      <c r="A83">
        <v>180.53</v>
      </c>
      <c r="B83">
        <v>-98.75</v>
      </c>
      <c r="C83">
        <v>114.3</v>
      </c>
      <c r="E83" t="s">
        <v>164</v>
      </c>
      <c r="G83">
        <f t="shared" si="4"/>
        <v>2.6599999999999966</v>
      </c>
      <c r="H83">
        <f t="shared" si="5"/>
        <v>0</v>
      </c>
      <c r="I83">
        <f t="shared" si="6"/>
        <v>0</v>
      </c>
    </row>
    <row r="84" spans="1:13" x14ac:dyDescent="0.25">
      <c r="A84">
        <v>177.87</v>
      </c>
      <c r="B84">
        <v>-98.75</v>
      </c>
      <c r="C84">
        <v>114.3</v>
      </c>
      <c r="E84" t="s">
        <v>165</v>
      </c>
      <c r="G84">
        <f t="shared" si="4"/>
        <v>2.4900000000000091</v>
      </c>
      <c r="H84">
        <f t="shared" si="5"/>
        <v>0.62000000000000455</v>
      </c>
      <c r="I84">
        <f t="shared" si="6"/>
        <v>-7.9999999999998295E-2</v>
      </c>
    </row>
    <row r="85" spans="1:13" x14ac:dyDescent="0.25">
      <c r="A85">
        <v>175.38</v>
      </c>
      <c r="B85">
        <v>-99.37</v>
      </c>
      <c r="C85">
        <v>114.38</v>
      </c>
      <c r="E85" t="s">
        <v>166</v>
      </c>
      <c r="G85">
        <f t="shared" si="4"/>
        <v>2.6999999999999886</v>
      </c>
      <c r="H85">
        <f t="shared" si="5"/>
        <v>0</v>
      </c>
      <c r="I85">
        <f t="shared" si="6"/>
        <v>0</v>
      </c>
    </row>
    <row r="86" spans="1:13" x14ac:dyDescent="0.25">
      <c r="A86">
        <v>172.68</v>
      </c>
      <c r="B86">
        <v>-99.37</v>
      </c>
      <c r="C86">
        <v>114.38</v>
      </c>
      <c r="E86" t="s">
        <v>167</v>
      </c>
      <c r="G86">
        <f t="shared" si="4"/>
        <v>2.1400000000000148</v>
      </c>
      <c r="H86">
        <f t="shared" si="5"/>
        <v>0.10999999999999943</v>
      </c>
      <c r="I86">
        <f t="shared" si="6"/>
        <v>-5.0000000000011369E-2</v>
      </c>
    </row>
    <row r="87" spans="1:13" x14ac:dyDescent="0.25">
      <c r="A87">
        <v>170.54</v>
      </c>
      <c r="B87">
        <v>-99.48</v>
      </c>
      <c r="C87">
        <v>114.43</v>
      </c>
      <c r="E87" t="s">
        <v>168</v>
      </c>
      <c r="G87">
        <f t="shared" si="4"/>
        <v>2.75</v>
      </c>
      <c r="H87">
        <f t="shared" si="5"/>
        <v>0</v>
      </c>
      <c r="I87">
        <f t="shared" si="6"/>
        <v>0</v>
      </c>
    </row>
    <row r="88" spans="1:13" x14ac:dyDescent="0.25">
      <c r="A88">
        <v>167.79</v>
      </c>
      <c r="B88">
        <v>-99.48</v>
      </c>
      <c r="C88">
        <v>114.43</v>
      </c>
      <c r="E88" t="s">
        <v>169</v>
      </c>
    </row>
    <row r="89" spans="1:13" x14ac:dyDescent="0.25">
      <c r="A89">
        <v>186.95</v>
      </c>
      <c r="B89">
        <v>-81.8</v>
      </c>
      <c r="C89">
        <v>156.38</v>
      </c>
      <c r="E89" t="s">
        <v>170</v>
      </c>
    </row>
    <row r="90" spans="1:13" x14ac:dyDescent="0.25">
      <c r="A90">
        <v>198.55</v>
      </c>
      <c r="B90">
        <v>-104.57</v>
      </c>
      <c r="C90">
        <v>105.56</v>
      </c>
      <c r="E90" t="s">
        <v>171</v>
      </c>
      <c r="G90">
        <f t="shared" si="4"/>
        <v>1.5800000000000125</v>
      </c>
      <c r="H90">
        <f t="shared" si="5"/>
        <v>-1.0299999999999869</v>
      </c>
      <c r="I90">
        <f t="shared" si="6"/>
        <v>-0.25999999999999091</v>
      </c>
    </row>
    <row r="91" spans="1:13" x14ac:dyDescent="0.25">
      <c r="A91">
        <v>196.97</v>
      </c>
      <c r="B91">
        <v>-103.54</v>
      </c>
      <c r="C91">
        <v>105.82</v>
      </c>
      <c r="E91" t="s">
        <v>172</v>
      </c>
      <c r="G91">
        <f t="shared" si="4"/>
        <v>1.9699999999999989</v>
      </c>
      <c r="H91">
        <f t="shared" si="5"/>
        <v>0</v>
      </c>
      <c r="I91">
        <f t="shared" si="6"/>
        <v>0.44999999999998863</v>
      </c>
    </row>
    <row r="92" spans="1:13" x14ac:dyDescent="0.25">
      <c r="A92">
        <v>195</v>
      </c>
      <c r="B92">
        <v>-103.54</v>
      </c>
      <c r="C92">
        <v>105.37</v>
      </c>
      <c r="E92" t="s">
        <v>173</v>
      </c>
      <c r="G92">
        <f t="shared" si="4"/>
        <v>3.5800000000000125</v>
      </c>
      <c r="H92">
        <f t="shared" si="5"/>
        <v>0</v>
      </c>
      <c r="I92">
        <f t="shared" si="6"/>
        <v>0</v>
      </c>
    </row>
    <row r="93" spans="1:13" x14ac:dyDescent="0.25">
      <c r="A93">
        <v>191.42</v>
      </c>
      <c r="B93">
        <v>-103.54</v>
      </c>
      <c r="C93">
        <v>105.37</v>
      </c>
      <c r="E93" t="s">
        <v>174</v>
      </c>
      <c r="G93">
        <f t="shared" si="4"/>
        <v>2.0799999999999841</v>
      </c>
      <c r="H93">
        <f t="shared" si="5"/>
        <v>1.9999999999996021E-2</v>
      </c>
      <c r="I93">
        <f t="shared" si="6"/>
        <v>-0.51999999999999602</v>
      </c>
    </row>
    <row r="94" spans="1:13" x14ac:dyDescent="0.25">
      <c r="A94">
        <v>189.34</v>
      </c>
      <c r="B94">
        <v>-103.56</v>
      </c>
      <c r="C94">
        <v>105.89</v>
      </c>
      <c r="E94" t="s">
        <v>175</v>
      </c>
      <c r="G94">
        <f t="shared" si="4"/>
        <v>2.3000000000000114</v>
      </c>
      <c r="H94">
        <f t="shared" si="5"/>
        <v>0</v>
      </c>
      <c r="I94">
        <f t="shared" si="6"/>
        <v>0.39000000000000057</v>
      </c>
      <c r="M94" s="5"/>
    </row>
    <row r="95" spans="1:13" x14ac:dyDescent="0.25">
      <c r="A95">
        <v>187.04</v>
      </c>
      <c r="B95">
        <v>-103.56</v>
      </c>
      <c r="C95">
        <v>105.5</v>
      </c>
      <c r="E95" t="s">
        <v>176</v>
      </c>
      <c r="G95">
        <f t="shared" si="4"/>
        <v>2.8899999999999864</v>
      </c>
      <c r="H95">
        <f t="shared" si="5"/>
        <v>4.9999999999997158E-2</v>
      </c>
      <c r="I95">
        <f t="shared" si="6"/>
        <v>-9.0000000000003411E-2</v>
      </c>
    </row>
    <row r="96" spans="1:13" x14ac:dyDescent="0.25">
      <c r="A96">
        <v>184.15</v>
      </c>
      <c r="B96">
        <v>-103.61</v>
      </c>
      <c r="C96">
        <v>105.59</v>
      </c>
      <c r="E96" t="s">
        <v>177</v>
      </c>
      <c r="G96">
        <f t="shared" si="4"/>
        <v>1.2800000000000011</v>
      </c>
      <c r="H96">
        <f t="shared" si="5"/>
        <v>1.4500000000000028</v>
      </c>
      <c r="I96">
        <f t="shared" si="6"/>
        <v>-1.2599999999999909</v>
      </c>
    </row>
    <row r="97" spans="1:13" x14ac:dyDescent="0.25">
      <c r="A97">
        <v>182.87</v>
      </c>
      <c r="B97">
        <v>-105.06</v>
      </c>
      <c r="C97">
        <v>106.85</v>
      </c>
      <c r="E97" t="s">
        <v>178</v>
      </c>
      <c r="G97">
        <f t="shared" si="4"/>
        <v>2.1299999999999955</v>
      </c>
      <c r="H97">
        <f t="shared" si="5"/>
        <v>0</v>
      </c>
      <c r="I97">
        <f t="shared" si="6"/>
        <v>0</v>
      </c>
      <c r="M97">
        <f>5/22</f>
        <v>0.22727272727272727</v>
      </c>
    </row>
    <row r="98" spans="1:13" x14ac:dyDescent="0.25">
      <c r="A98">
        <v>180.74</v>
      </c>
      <c r="B98">
        <v>-105.06</v>
      </c>
      <c r="C98">
        <v>106.85</v>
      </c>
      <c r="E98" t="s">
        <v>179</v>
      </c>
      <c r="G98">
        <f t="shared" si="4"/>
        <v>2.6000000000000227</v>
      </c>
      <c r="H98">
        <f t="shared" si="5"/>
        <v>0</v>
      </c>
      <c r="I98">
        <f t="shared" si="6"/>
        <v>0.20999999999999375</v>
      </c>
    </row>
    <row r="99" spans="1:13" x14ac:dyDescent="0.25">
      <c r="A99">
        <v>178.14</v>
      </c>
      <c r="B99">
        <v>-105.06</v>
      </c>
      <c r="C99">
        <v>106.64</v>
      </c>
      <c r="E99" t="s">
        <v>180</v>
      </c>
      <c r="G99">
        <f t="shared" si="4"/>
        <v>3.5099999999999909</v>
      </c>
      <c r="H99">
        <f t="shared" si="5"/>
        <v>0</v>
      </c>
      <c r="I99">
        <f t="shared" si="6"/>
        <v>0</v>
      </c>
    </row>
    <row r="100" spans="1:13" x14ac:dyDescent="0.25">
      <c r="A100">
        <v>174.63</v>
      </c>
      <c r="B100">
        <v>-105.06</v>
      </c>
      <c r="C100">
        <v>106.64</v>
      </c>
      <c r="E100" t="s">
        <v>181</v>
      </c>
      <c r="G100">
        <f t="shared" si="4"/>
        <v>2.3299999999999841</v>
      </c>
      <c r="H100">
        <f t="shared" si="5"/>
        <v>0</v>
      </c>
      <c r="I100">
        <f t="shared" si="6"/>
        <v>0</v>
      </c>
    </row>
    <row r="101" spans="1:13" x14ac:dyDescent="0.25">
      <c r="A101">
        <v>172.3</v>
      </c>
      <c r="B101">
        <v>-105.06</v>
      </c>
      <c r="C101">
        <v>106.64</v>
      </c>
      <c r="E101" t="s">
        <v>182</v>
      </c>
      <c r="G101">
        <f t="shared" si="4"/>
        <v>2.8400000000000034</v>
      </c>
      <c r="H101">
        <f t="shared" si="5"/>
        <v>0</v>
      </c>
      <c r="I101">
        <f t="shared" si="6"/>
        <v>0</v>
      </c>
    </row>
    <row r="102" spans="1:13" x14ac:dyDescent="0.25">
      <c r="A102">
        <v>169.46</v>
      </c>
      <c r="B102">
        <v>-105.06</v>
      </c>
      <c r="C102">
        <v>106.64</v>
      </c>
      <c r="E102" t="s">
        <v>183</v>
      </c>
      <c r="G102">
        <f t="shared" si="4"/>
        <v>2.6100000000000136</v>
      </c>
      <c r="H102">
        <f t="shared" si="5"/>
        <v>0</v>
      </c>
      <c r="I102">
        <f t="shared" si="6"/>
        <v>0</v>
      </c>
    </row>
    <row r="103" spans="1:13" x14ac:dyDescent="0.25">
      <c r="A103">
        <v>166.85</v>
      </c>
      <c r="B103">
        <v>-105.06</v>
      </c>
      <c r="C103">
        <v>106.64</v>
      </c>
      <c r="E103" t="s">
        <v>184</v>
      </c>
      <c r="G103">
        <f t="shared" si="4"/>
        <v>2.289999999999992</v>
      </c>
      <c r="H103">
        <f t="shared" si="5"/>
        <v>0</v>
      </c>
      <c r="I103">
        <f t="shared" si="6"/>
        <v>0</v>
      </c>
    </row>
    <row r="104" spans="1:13" x14ac:dyDescent="0.25">
      <c r="A104">
        <v>164.56</v>
      </c>
      <c r="B104">
        <v>-105.06</v>
      </c>
      <c r="C104">
        <v>106.64</v>
      </c>
      <c r="E104" t="s">
        <v>185</v>
      </c>
      <c r="G104">
        <f t="shared" si="4"/>
        <v>3.0999999999999943</v>
      </c>
      <c r="H104">
        <f t="shared" si="5"/>
        <v>0</v>
      </c>
      <c r="I104">
        <f t="shared" si="6"/>
        <v>0</v>
      </c>
    </row>
    <row r="105" spans="1:13" x14ac:dyDescent="0.25">
      <c r="A105">
        <v>161.46</v>
      </c>
      <c r="B105">
        <v>-105.06</v>
      </c>
      <c r="C105">
        <v>106.64</v>
      </c>
      <c r="E105" t="s">
        <v>186</v>
      </c>
      <c r="G105">
        <f t="shared" si="4"/>
        <v>1.4399999999999977</v>
      </c>
      <c r="H105">
        <f t="shared" si="5"/>
        <v>-0.10000000000000853</v>
      </c>
      <c r="I105">
        <f t="shared" si="6"/>
        <v>0.73999999999999488</v>
      </c>
    </row>
    <row r="106" spans="1:13" x14ac:dyDescent="0.25">
      <c r="A106">
        <v>160.02000000000001</v>
      </c>
      <c r="B106">
        <v>-104.96</v>
      </c>
      <c r="C106">
        <v>105.9</v>
      </c>
      <c r="E106" t="s">
        <v>187</v>
      </c>
      <c r="G106">
        <f t="shared" si="4"/>
        <v>3.4500000000000171</v>
      </c>
      <c r="H106">
        <f t="shared" si="5"/>
        <v>0</v>
      </c>
      <c r="I106">
        <f t="shared" si="6"/>
        <v>-0.62999999999999545</v>
      </c>
    </row>
    <row r="107" spans="1:13" x14ac:dyDescent="0.25">
      <c r="A107">
        <v>156.57</v>
      </c>
      <c r="B107">
        <v>-104.96</v>
      </c>
      <c r="C107">
        <v>106.53</v>
      </c>
      <c r="E107" t="s">
        <v>188</v>
      </c>
      <c r="G107">
        <f t="shared" si="4"/>
        <v>2.3799999999999955</v>
      </c>
      <c r="H107">
        <f t="shared" si="5"/>
        <v>0</v>
      </c>
      <c r="I107">
        <f t="shared" si="6"/>
        <v>0</v>
      </c>
    </row>
    <row r="108" spans="1:13" x14ac:dyDescent="0.25">
      <c r="A108">
        <v>154.19</v>
      </c>
      <c r="B108">
        <v>-104.96</v>
      </c>
      <c r="C108">
        <v>106.53</v>
      </c>
      <c r="E108" t="s">
        <v>189</v>
      </c>
      <c r="G108">
        <f t="shared" si="4"/>
        <v>2.5</v>
      </c>
      <c r="H108">
        <f t="shared" si="5"/>
        <v>0</v>
      </c>
      <c r="I108">
        <f t="shared" si="6"/>
        <v>0</v>
      </c>
    </row>
    <row r="109" spans="1:13" x14ac:dyDescent="0.25">
      <c r="A109">
        <v>151.69</v>
      </c>
      <c r="B109">
        <v>-104.96</v>
      </c>
      <c r="C109">
        <v>106.53</v>
      </c>
      <c r="E109" t="s">
        <v>190</v>
      </c>
    </row>
    <row r="110" spans="1:13" x14ac:dyDescent="0.25">
      <c r="A110">
        <v>197.96</v>
      </c>
      <c r="B110">
        <v>-106.66</v>
      </c>
      <c r="C110">
        <v>104.75</v>
      </c>
      <c r="E110" t="s">
        <v>191</v>
      </c>
      <c r="G110">
        <f t="shared" si="4"/>
        <v>2.6299999999999955</v>
      </c>
      <c r="H110">
        <f t="shared" si="5"/>
        <v>0.17000000000000171</v>
      </c>
      <c r="I110">
        <f t="shared" si="6"/>
        <v>-7.9999999999998295E-2</v>
      </c>
    </row>
    <row r="111" spans="1:13" x14ac:dyDescent="0.25">
      <c r="A111">
        <v>195.33</v>
      </c>
      <c r="B111">
        <v>-106.83</v>
      </c>
      <c r="C111">
        <v>104.83</v>
      </c>
      <c r="E111" t="s">
        <v>192</v>
      </c>
      <c r="G111">
        <f t="shared" si="4"/>
        <v>2.4800000000000182</v>
      </c>
      <c r="H111">
        <f t="shared" si="5"/>
        <v>-0.12999999999999545</v>
      </c>
      <c r="I111">
        <f t="shared" si="6"/>
        <v>-0.12999999999999545</v>
      </c>
    </row>
    <row r="112" spans="1:13" x14ac:dyDescent="0.25">
      <c r="A112">
        <v>192.85</v>
      </c>
      <c r="B112">
        <v>-106.7</v>
      </c>
      <c r="C112">
        <v>104.96</v>
      </c>
      <c r="E112" t="s">
        <v>193</v>
      </c>
      <c r="G112">
        <f t="shared" si="4"/>
        <v>2.4799999999999898</v>
      </c>
      <c r="H112">
        <f t="shared" si="5"/>
        <v>0</v>
      </c>
      <c r="I112">
        <f t="shared" si="6"/>
        <v>0</v>
      </c>
    </row>
    <row r="113" spans="1:14" x14ac:dyDescent="0.25">
      <c r="A113">
        <v>190.37</v>
      </c>
      <c r="B113">
        <v>-106.7</v>
      </c>
      <c r="C113">
        <v>104.96</v>
      </c>
      <c r="E113" t="s">
        <v>194</v>
      </c>
      <c r="G113">
        <f t="shared" si="4"/>
        <v>2.4099999999999966</v>
      </c>
      <c r="H113">
        <f t="shared" si="5"/>
        <v>0</v>
      </c>
      <c r="I113">
        <f t="shared" si="6"/>
        <v>0</v>
      </c>
    </row>
    <row r="114" spans="1:14" x14ac:dyDescent="0.25">
      <c r="A114">
        <v>187.96</v>
      </c>
      <c r="B114">
        <v>-106.7</v>
      </c>
      <c r="C114">
        <v>104.96</v>
      </c>
      <c r="E114" t="s">
        <v>195</v>
      </c>
      <c r="G114">
        <f t="shared" si="4"/>
        <v>-41.429999999999978</v>
      </c>
      <c r="H114">
        <f t="shared" si="5"/>
        <v>15.36999999999999</v>
      </c>
      <c r="I114">
        <f t="shared" si="6"/>
        <v>-20.63000000000001</v>
      </c>
    </row>
    <row r="115" spans="1:14" x14ac:dyDescent="0.25">
      <c r="A115">
        <v>229.39</v>
      </c>
      <c r="B115">
        <v>-122.07</v>
      </c>
      <c r="C115">
        <v>125.59</v>
      </c>
      <c r="E115" t="s">
        <v>196</v>
      </c>
      <c r="G115">
        <f t="shared" si="4"/>
        <v>1.9399999999999977</v>
      </c>
      <c r="H115">
        <f t="shared" si="5"/>
        <v>0.24000000000000909</v>
      </c>
      <c r="I115">
        <f t="shared" si="6"/>
        <v>-0.15999999999999659</v>
      </c>
    </row>
    <row r="116" spans="1:14" x14ac:dyDescent="0.25">
      <c r="A116">
        <v>227.45</v>
      </c>
      <c r="B116">
        <v>-122.31</v>
      </c>
      <c r="C116">
        <v>125.75</v>
      </c>
      <c r="E116" t="s">
        <v>197</v>
      </c>
      <c r="G116">
        <f t="shared" si="4"/>
        <v>2.8899999999999864</v>
      </c>
      <c r="H116">
        <f t="shared" si="5"/>
        <v>-7.9999999999998295E-2</v>
      </c>
      <c r="I116">
        <f t="shared" si="6"/>
        <v>-0.12999999999999545</v>
      </c>
    </row>
    <row r="117" spans="1:14" x14ac:dyDescent="0.25">
      <c r="A117">
        <v>224.56</v>
      </c>
      <c r="B117">
        <v>-122.23</v>
      </c>
      <c r="C117">
        <v>125.88</v>
      </c>
      <c r="E117" t="s">
        <v>198</v>
      </c>
      <c r="G117">
        <f t="shared" si="4"/>
        <v>2.4900000000000091</v>
      </c>
      <c r="H117">
        <f t="shared" si="5"/>
        <v>-0.23000000000000398</v>
      </c>
      <c r="I117">
        <f t="shared" si="6"/>
        <v>0</v>
      </c>
    </row>
    <row r="118" spans="1:14" x14ac:dyDescent="0.25">
      <c r="A118">
        <v>222.07</v>
      </c>
      <c r="B118">
        <v>-122</v>
      </c>
      <c r="C118">
        <v>125.88</v>
      </c>
      <c r="E118" t="s">
        <v>199</v>
      </c>
      <c r="G118">
        <f t="shared" si="4"/>
        <v>2.75</v>
      </c>
      <c r="H118">
        <f t="shared" si="5"/>
        <v>9.0000000000003411E-2</v>
      </c>
      <c r="I118">
        <f t="shared" si="6"/>
        <v>0.53999999999999204</v>
      </c>
    </row>
    <row r="119" spans="1:14" x14ac:dyDescent="0.25">
      <c r="A119">
        <v>219.32</v>
      </c>
      <c r="B119">
        <v>-122.09</v>
      </c>
      <c r="C119">
        <v>125.34</v>
      </c>
      <c r="E119" t="s">
        <v>200</v>
      </c>
      <c r="G119">
        <f t="shared" si="4"/>
        <v>2.5799999999999841</v>
      </c>
      <c r="H119">
        <f t="shared" si="5"/>
        <v>9.9999999999909051E-3</v>
      </c>
      <c r="I119">
        <f t="shared" si="6"/>
        <v>-0.53999999999999204</v>
      </c>
    </row>
    <row r="120" spans="1:14" x14ac:dyDescent="0.25">
      <c r="A120">
        <v>216.74</v>
      </c>
      <c r="B120">
        <v>-122.1</v>
      </c>
      <c r="C120">
        <v>125.88</v>
      </c>
      <c r="E120" t="s">
        <v>201</v>
      </c>
      <c r="G120">
        <f t="shared" si="4"/>
        <v>2.4500000000000171</v>
      </c>
      <c r="H120">
        <f t="shared" si="5"/>
        <v>0</v>
      </c>
      <c r="I120">
        <f t="shared" si="6"/>
        <v>0</v>
      </c>
      <c r="M120">
        <f>13/22</f>
        <v>0.59090909090909094</v>
      </c>
    </row>
    <row r="121" spans="1:14" x14ac:dyDescent="0.25">
      <c r="A121">
        <v>214.29</v>
      </c>
      <c r="B121">
        <v>-122.1</v>
      </c>
      <c r="C121">
        <v>125.88</v>
      </c>
      <c r="E121" t="s">
        <v>202</v>
      </c>
      <c r="G121">
        <f t="shared" si="4"/>
        <v>2.7599999999999909</v>
      </c>
      <c r="H121">
        <f t="shared" si="5"/>
        <v>0</v>
      </c>
      <c r="I121">
        <f t="shared" si="6"/>
        <v>0</v>
      </c>
    </row>
    <row r="122" spans="1:14" x14ac:dyDescent="0.25">
      <c r="A122">
        <v>211.53</v>
      </c>
      <c r="B122">
        <v>-122.1</v>
      </c>
      <c r="C122">
        <v>125.88</v>
      </c>
      <c r="E122" t="s">
        <v>203</v>
      </c>
      <c r="G122">
        <f t="shared" si="4"/>
        <v>1.9799999999999898</v>
      </c>
      <c r="H122">
        <f t="shared" si="5"/>
        <v>0</v>
      </c>
      <c r="I122">
        <f t="shared" si="6"/>
        <v>0</v>
      </c>
    </row>
    <row r="123" spans="1:14" x14ac:dyDescent="0.25">
      <c r="A123">
        <v>209.55</v>
      </c>
      <c r="B123">
        <v>-122.1</v>
      </c>
      <c r="C123">
        <v>125.88</v>
      </c>
      <c r="E123" t="s">
        <v>204</v>
      </c>
      <c r="G123">
        <f t="shared" si="4"/>
        <v>2.7800000000000011</v>
      </c>
      <c r="H123">
        <f t="shared" si="5"/>
        <v>-5.9999999999988063E-2</v>
      </c>
      <c r="I123">
        <f t="shared" si="6"/>
        <v>0</v>
      </c>
      <c r="N123">
        <f>7/8</f>
        <v>0.875</v>
      </c>
    </row>
    <row r="124" spans="1:14" x14ac:dyDescent="0.25">
      <c r="A124">
        <v>206.77</v>
      </c>
      <c r="B124">
        <v>-122.04</v>
      </c>
      <c r="C124">
        <v>125.88</v>
      </c>
      <c r="E124" t="s">
        <v>205</v>
      </c>
      <c r="G124">
        <f t="shared" si="4"/>
        <v>2.710000000000008</v>
      </c>
      <c r="H124">
        <f t="shared" si="5"/>
        <v>-3.0000000000001137E-2</v>
      </c>
      <c r="I124">
        <f t="shared" si="6"/>
        <v>9.9999999999994316E-2</v>
      </c>
      <c r="N124">
        <f>21/22</f>
        <v>0.95454545454545459</v>
      </c>
    </row>
    <row r="125" spans="1:14" x14ac:dyDescent="0.25">
      <c r="A125">
        <v>204.06</v>
      </c>
      <c r="B125">
        <v>-122.01</v>
      </c>
      <c r="C125">
        <v>125.78</v>
      </c>
      <c r="E125" t="s">
        <v>206</v>
      </c>
      <c r="G125">
        <f t="shared" si="4"/>
        <v>-14.240000000000009</v>
      </c>
      <c r="H125">
        <f t="shared" si="5"/>
        <v>23.499999999999986</v>
      </c>
      <c r="I125">
        <f t="shared" si="6"/>
        <v>-1.7999999999999972</v>
      </c>
      <c r="N125">
        <f>21/22</f>
        <v>0.95454545454545459</v>
      </c>
    </row>
    <row r="126" spans="1:14" x14ac:dyDescent="0.25">
      <c r="A126">
        <v>218.3</v>
      </c>
      <c r="B126">
        <v>-145.51</v>
      </c>
      <c r="C126">
        <v>127.58</v>
      </c>
      <c r="E126" t="s">
        <v>207</v>
      </c>
      <c r="G126">
        <f t="shared" si="4"/>
        <v>-9.789999999999992</v>
      </c>
      <c r="H126">
        <f t="shared" si="5"/>
        <v>-17.129999999999995</v>
      </c>
      <c r="I126">
        <f t="shared" si="6"/>
        <v>-5.8900000000000006</v>
      </c>
      <c r="N126">
        <f>22/22</f>
        <v>1</v>
      </c>
    </row>
    <row r="127" spans="1:14" x14ac:dyDescent="0.25">
      <c r="A127">
        <v>228.09</v>
      </c>
      <c r="B127">
        <v>-128.38</v>
      </c>
      <c r="C127">
        <v>133.47</v>
      </c>
      <c r="E127" t="s">
        <v>208</v>
      </c>
      <c r="G127">
        <f t="shared" si="4"/>
        <v>2.4500000000000171</v>
      </c>
      <c r="H127">
        <f t="shared" si="5"/>
        <v>0</v>
      </c>
      <c r="I127">
        <f t="shared" si="6"/>
        <v>0.13999999999998636</v>
      </c>
      <c r="N127">
        <f>18/22</f>
        <v>0.81818181818181823</v>
      </c>
    </row>
    <row r="128" spans="1:14" x14ac:dyDescent="0.25">
      <c r="A128">
        <v>225.64</v>
      </c>
      <c r="B128">
        <v>-128.38</v>
      </c>
      <c r="C128">
        <v>133.33000000000001</v>
      </c>
      <c r="E128" t="s">
        <v>209</v>
      </c>
      <c r="G128">
        <f t="shared" si="4"/>
        <v>2.1499999999999773</v>
      </c>
      <c r="H128">
        <f t="shared" si="5"/>
        <v>-0.19999999999998863</v>
      </c>
      <c r="I128">
        <f t="shared" si="6"/>
        <v>0.19000000000002615</v>
      </c>
      <c r="N128">
        <f>9/22</f>
        <v>0.40909090909090912</v>
      </c>
    </row>
    <row r="129" spans="1:14" x14ac:dyDescent="0.25">
      <c r="A129">
        <v>223.49</v>
      </c>
      <c r="B129">
        <v>-128.18</v>
      </c>
      <c r="C129">
        <v>133.13999999999999</v>
      </c>
      <c r="E129" t="s">
        <v>210</v>
      </c>
      <c r="N129">
        <f>7/22</f>
        <v>0.31818181818181818</v>
      </c>
    </row>
    <row r="130" spans="1:14" x14ac:dyDescent="0.25">
      <c r="A130">
        <v>199.78</v>
      </c>
      <c r="B130">
        <v>-140.62</v>
      </c>
      <c r="C130">
        <v>142.58000000000001</v>
      </c>
      <c r="E130" t="s">
        <v>211</v>
      </c>
    </row>
    <row r="131" spans="1:14" x14ac:dyDescent="0.25">
      <c r="A131">
        <v>281.35000000000002</v>
      </c>
      <c r="B131">
        <v>-178.28</v>
      </c>
      <c r="C131">
        <v>144.69</v>
      </c>
      <c r="E131" t="s">
        <v>213</v>
      </c>
      <c r="G131">
        <f>AVERAGE(G2:G128)</f>
        <v>1.2345833333333336</v>
      </c>
      <c r="H131">
        <f>AVERAGE(H2:H128)</f>
        <v>0.27116666666666683</v>
      </c>
      <c r="I131">
        <f>AVERAGE(I2:I128)</f>
        <v>-0.21183333333333335</v>
      </c>
      <c r="M131">
        <f>AVERAGE(M31,M26,M24,M23)</f>
        <v>0.40909090909090912</v>
      </c>
      <c r="N131">
        <f>AVERAGE(N123:N129)</f>
        <v>0.76136363636363646</v>
      </c>
    </row>
    <row r="132" spans="1:14" x14ac:dyDescent="0.25">
      <c r="A132">
        <v>284.38</v>
      </c>
      <c r="B132">
        <v>-124.43</v>
      </c>
      <c r="C132">
        <v>144.6</v>
      </c>
      <c r="E132" t="s">
        <v>212</v>
      </c>
      <c r="M132">
        <f>AVERAGE(M131:N131)</f>
        <v>0.58522727272727282</v>
      </c>
    </row>
    <row r="133" spans="1:14" x14ac:dyDescent="0.25">
      <c r="A133">
        <v>212.36</v>
      </c>
      <c r="B133">
        <v>-176.73</v>
      </c>
      <c r="C133">
        <v>141.44</v>
      </c>
      <c r="E133" t="s">
        <v>214</v>
      </c>
    </row>
    <row r="134" spans="1:14" x14ac:dyDescent="0.25">
      <c r="A134">
        <v>271.01</v>
      </c>
      <c r="B134">
        <v>-143.78</v>
      </c>
      <c r="C134">
        <v>136.38999999999999</v>
      </c>
      <c r="E134" t="s">
        <v>215</v>
      </c>
    </row>
    <row r="135" spans="1:14" x14ac:dyDescent="0.25">
      <c r="A135">
        <v>271.68</v>
      </c>
      <c r="B135">
        <v>-135.36000000000001</v>
      </c>
      <c r="C135">
        <v>137.76</v>
      </c>
      <c r="E135" t="s">
        <v>216</v>
      </c>
    </row>
    <row r="136" spans="1:14" x14ac:dyDescent="0.25">
      <c r="A136">
        <v>270.62</v>
      </c>
      <c r="B136">
        <v>-152.11000000000001</v>
      </c>
      <c r="C136">
        <v>137.35</v>
      </c>
      <c r="E136" t="s">
        <v>217</v>
      </c>
    </row>
    <row r="137" spans="1:14" x14ac:dyDescent="0.25">
      <c r="A137">
        <v>267.20999999999998</v>
      </c>
      <c r="B137">
        <v>-161.77000000000001</v>
      </c>
      <c r="C137">
        <v>135.53</v>
      </c>
      <c r="E137" t="s">
        <v>218</v>
      </c>
    </row>
    <row r="138" spans="1:14" x14ac:dyDescent="0.25">
      <c r="A138">
        <v>261.85000000000002</v>
      </c>
      <c r="B138">
        <v>-173.26</v>
      </c>
      <c r="C138">
        <v>133.36000000000001</v>
      </c>
      <c r="E138" t="s">
        <v>219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133"/>
  <sheetViews>
    <sheetView topLeftCell="A113" workbookViewId="0">
      <selection activeCell="L132" sqref="L132"/>
    </sheetView>
  </sheetViews>
  <sheetFormatPr defaultRowHeight="14.3" x14ac:dyDescent="0.25"/>
  <sheetData>
    <row r="1" spans="1:9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9" x14ac:dyDescent="0.25">
      <c r="A2">
        <v>199.93</v>
      </c>
      <c r="B2">
        <v>-78.989999999999995</v>
      </c>
      <c r="C2">
        <v>158.53</v>
      </c>
      <c r="E2" t="s">
        <v>134</v>
      </c>
    </row>
    <row r="3" spans="1:9" x14ac:dyDescent="0.25">
      <c r="A3">
        <v>272.49</v>
      </c>
      <c r="B3">
        <v>-135.85</v>
      </c>
      <c r="C3">
        <v>109.97</v>
      </c>
      <c r="E3" t="s">
        <v>135</v>
      </c>
    </row>
    <row r="4" spans="1:9" x14ac:dyDescent="0.25">
      <c r="A4">
        <v>213.93</v>
      </c>
      <c r="B4">
        <v>-135.85</v>
      </c>
      <c r="C4">
        <v>109.97</v>
      </c>
      <c r="E4" t="s">
        <v>136</v>
      </c>
    </row>
    <row r="5" spans="1:9" x14ac:dyDescent="0.25">
      <c r="A5">
        <v>274.3</v>
      </c>
      <c r="B5">
        <v>-177.26</v>
      </c>
      <c r="C5">
        <v>111.43</v>
      </c>
      <c r="E5" t="s">
        <v>137</v>
      </c>
    </row>
    <row r="6" spans="1:9" x14ac:dyDescent="0.25">
      <c r="A6">
        <v>216.03</v>
      </c>
      <c r="B6">
        <v>-177.05</v>
      </c>
      <c r="C6">
        <v>111.43</v>
      </c>
      <c r="E6" t="s">
        <v>138</v>
      </c>
    </row>
    <row r="7" spans="1:9" x14ac:dyDescent="0.25">
      <c r="A7">
        <v>275.02</v>
      </c>
      <c r="B7">
        <v>-132.09</v>
      </c>
      <c r="C7">
        <v>116.14</v>
      </c>
      <c r="E7" t="s">
        <v>9</v>
      </c>
      <c r="G7">
        <f t="shared" ref="G7:G66" si="0">A7-A8</f>
        <v>3.0600000000000023</v>
      </c>
      <c r="H7">
        <f t="shared" ref="H7:H66" si="1">B7-B8</f>
        <v>0</v>
      </c>
      <c r="I7">
        <f t="shared" ref="I7:I66" si="2">C7-C8</f>
        <v>0</v>
      </c>
    </row>
    <row r="8" spans="1:9" x14ac:dyDescent="0.25">
      <c r="A8">
        <v>271.95999999999998</v>
      </c>
      <c r="B8">
        <v>-132.09</v>
      </c>
      <c r="C8">
        <v>116.14</v>
      </c>
      <c r="E8" t="s">
        <v>10</v>
      </c>
      <c r="G8">
        <f t="shared" si="0"/>
        <v>2.4199999999999591</v>
      </c>
      <c r="H8">
        <f t="shared" si="1"/>
        <v>0</v>
      </c>
      <c r="I8">
        <f t="shared" si="2"/>
        <v>0.21999999999999886</v>
      </c>
    </row>
    <row r="9" spans="1:9" x14ac:dyDescent="0.25">
      <c r="A9">
        <v>269.54000000000002</v>
      </c>
      <c r="B9">
        <v>-132.09</v>
      </c>
      <c r="C9">
        <v>115.92</v>
      </c>
      <c r="E9" t="s">
        <v>12</v>
      </c>
      <c r="G9">
        <f t="shared" si="0"/>
        <v>2.4500000000000455</v>
      </c>
      <c r="H9">
        <f t="shared" si="1"/>
        <v>0</v>
      </c>
      <c r="I9">
        <f t="shared" si="2"/>
        <v>0</v>
      </c>
    </row>
    <row r="10" spans="1:9" x14ac:dyDescent="0.25">
      <c r="A10">
        <v>267.08999999999997</v>
      </c>
      <c r="B10">
        <v>-132.09</v>
      </c>
      <c r="C10">
        <v>115.92</v>
      </c>
      <c r="E10" t="s">
        <v>13</v>
      </c>
      <c r="G10">
        <f t="shared" si="0"/>
        <v>1.6299999999999955</v>
      </c>
      <c r="H10">
        <f t="shared" si="1"/>
        <v>-1.3300000000000125</v>
      </c>
      <c r="I10">
        <f t="shared" si="2"/>
        <v>-0.81999999999999318</v>
      </c>
    </row>
    <row r="11" spans="1:9" x14ac:dyDescent="0.25">
      <c r="A11">
        <v>265.45999999999998</v>
      </c>
      <c r="B11">
        <v>-130.76</v>
      </c>
      <c r="C11">
        <v>116.74</v>
      </c>
      <c r="E11" t="s">
        <v>14</v>
      </c>
      <c r="G11">
        <f t="shared" si="0"/>
        <v>2.9499999999999886</v>
      </c>
      <c r="H11">
        <f t="shared" si="1"/>
        <v>0</v>
      </c>
      <c r="I11">
        <f t="shared" si="2"/>
        <v>0</v>
      </c>
    </row>
    <row r="12" spans="1:9" x14ac:dyDescent="0.25">
      <c r="A12">
        <v>262.51</v>
      </c>
      <c r="B12">
        <v>-130.76</v>
      </c>
      <c r="C12">
        <v>116.74</v>
      </c>
      <c r="E12" t="s">
        <v>15</v>
      </c>
      <c r="G12">
        <f t="shared" si="0"/>
        <v>1.6599999999999682</v>
      </c>
      <c r="H12">
        <f t="shared" si="1"/>
        <v>-0.81999999999999318</v>
      </c>
      <c r="I12">
        <f t="shared" si="2"/>
        <v>-0.77000000000001023</v>
      </c>
    </row>
    <row r="13" spans="1:9" x14ac:dyDescent="0.25">
      <c r="A13">
        <v>260.85000000000002</v>
      </c>
      <c r="B13">
        <v>-129.94</v>
      </c>
      <c r="C13">
        <v>117.51</v>
      </c>
      <c r="E13" t="s">
        <v>16</v>
      </c>
      <c r="G13">
        <f t="shared" si="0"/>
        <v>1.5200000000000387</v>
      </c>
      <c r="H13">
        <f t="shared" si="1"/>
        <v>-1.1599999999999966</v>
      </c>
      <c r="I13">
        <f t="shared" si="2"/>
        <v>-0.85999999999999943</v>
      </c>
    </row>
    <row r="14" spans="1:9" x14ac:dyDescent="0.25">
      <c r="A14">
        <v>259.33</v>
      </c>
      <c r="B14">
        <v>-128.78</v>
      </c>
      <c r="C14">
        <v>118.37</v>
      </c>
      <c r="E14" t="s">
        <v>17</v>
      </c>
      <c r="G14">
        <f t="shared" si="0"/>
        <v>2.6200000000000045</v>
      </c>
      <c r="H14">
        <f t="shared" si="1"/>
        <v>0.43999999999999773</v>
      </c>
      <c r="I14">
        <f t="shared" si="2"/>
        <v>4.0000000000006253E-2</v>
      </c>
    </row>
    <row r="15" spans="1:9" x14ac:dyDescent="0.25">
      <c r="A15">
        <v>256.70999999999998</v>
      </c>
      <c r="B15">
        <v>-129.22</v>
      </c>
      <c r="C15">
        <v>118.33</v>
      </c>
      <c r="E15" t="s">
        <v>18</v>
      </c>
      <c r="G15">
        <f t="shared" si="0"/>
        <v>1.8899999999999864</v>
      </c>
      <c r="H15">
        <f t="shared" si="1"/>
        <v>-0.80000000000001137</v>
      </c>
      <c r="I15">
        <f t="shared" si="2"/>
        <v>-0.57999999999999829</v>
      </c>
    </row>
    <row r="16" spans="1:9" x14ac:dyDescent="0.25">
      <c r="A16">
        <v>254.82</v>
      </c>
      <c r="B16">
        <v>-128.41999999999999</v>
      </c>
      <c r="C16">
        <v>118.91</v>
      </c>
      <c r="E16" t="s">
        <v>19</v>
      </c>
      <c r="G16">
        <f t="shared" si="0"/>
        <v>2.0199999999999818</v>
      </c>
      <c r="H16">
        <f t="shared" si="1"/>
        <v>-0.97999999999998977</v>
      </c>
      <c r="I16">
        <f t="shared" si="2"/>
        <v>-0.52000000000001023</v>
      </c>
    </row>
    <row r="17" spans="1:12" x14ac:dyDescent="0.25">
      <c r="A17">
        <v>252.8</v>
      </c>
      <c r="B17">
        <v>-127.44</v>
      </c>
      <c r="C17">
        <v>119.43</v>
      </c>
      <c r="E17" t="s">
        <v>20</v>
      </c>
      <c r="G17">
        <f t="shared" si="0"/>
        <v>2.3400000000000034</v>
      </c>
      <c r="H17">
        <f t="shared" si="1"/>
        <v>0</v>
      </c>
      <c r="I17">
        <f t="shared" si="2"/>
        <v>0</v>
      </c>
    </row>
    <row r="18" spans="1:12" x14ac:dyDescent="0.25">
      <c r="A18">
        <v>250.46</v>
      </c>
      <c r="B18">
        <v>-127.44</v>
      </c>
      <c r="C18">
        <v>119.43</v>
      </c>
      <c r="E18" t="s">
        <v>21</v>
      </c>
      <c r="G18">
        <f t="shared" si="0"/>
        <v>7.3499999999999943</v>
      </c>
      <c r="H18">
        <f t="shared" si="1"/>
        <v>0.23000000000000398</v>
      </c>
      <c r="I18">
        <f t="shared" si="2"/>
        <v>-9.9999999999994316E-2</v>
      </c>
    </row>
    <row r="19" spans="1:12" x14ac:dyDescent="0.25">
      <c r="A19">
        <v>243.11</v>
      </c>
      <c r="B19">
        <v>-127.67</v>
      </c>
      <c r="C19">
        <v>119.53</v>
      </c>
      <c r="E19" t="s">
        <v>22</v>
      </c>
      <c r="G19">
        <f t="shared" si="0"/>
        <v>-2.3799999999999955</v>
      </c>
      <c r="H19">
        <f t="shared" si="1"/>
        <v>0</v>
      </c>
      <c r="I19">
        <f t="shared" si="2"/>
        <v>0</v>
      </c>
    </row>
    <row r="20" spans="1:12" x14ac:dyDescent="0.25">
      <c r="A20">
        <v>245.49</v>
      </c>
      <c r="B20">
        <v>-127.67</v>
      </c>
      <c r="C20">
        <v>119.53</v>
      </c>
      <c r="E20" t="s">
        <v>23</v>
      </c>
      <c r="G20">
        <f t="shared" si="0"/>
        <v>-2.6299999999999955</v>
      </c>
      <c r="H20">
        <f t="shared" si="1"/>
        <v>0</v>
      </c>
      <c r="I20">
        <f t="shared" si="2"/>
        <v>0</v>
      </c>
    </row>
    <row r="21" spans="1:12" x14ac:dyDescent="0.25">
      <c r="A21">
        <v>248.12</v>
      </c>
      <c r="B21">
        <v>-127.67</v>
      </c>
      <c r="C21">
        <v>119.53</v>
      </c>
      <c r="E21" t="s">
        <v>24</v>
      </c>
      <c r="G21">
        <f t="shared" si="0"/>
        <v>7.6400000000000148</v>
      </c>
      <c r="H21">
        <f t="shared" si="1"/>
        <v>0</v>
      </c>
      <c r="I21">
        <f t="shared" si="2"/>
        <v>0</v>
      </c>
    </row>
    <row r="22" spans="1:12" x14ac:dyDescent="0.25">
      <c r="A22">
        <v>240.48</v>
      </c>
      <c r="B22">
        <v>-127.67</v>
      </c>
      <c r="C22">
        <v>119.53</v>
      </c>
      <c r="E22" t="s">
        <v>25</v>
      </c>
      <c r="G22">
        <f t="shared" si="0"/>
        <v>2.5199999999999818</v>
      </c>
      <c r="H22">
        <f t="shared" si="1"/>
        <v>0</v>
      </c>
      <c r="I22">
        <f t="shared" si="2"/>
        <v>0</v>
      </c>
    </row>
    <row r="23" spans="1:12" x14ac:dyDescent="0.25">
      <c r="A23">
        <v>237.96</v>
      </c>
      <c r="B23">
        <v>-127.67</v>
      </c>
      <c r="C23">
        <v>119.53</v>
      </c>
      <c r="E23" t="s">
        <v>26</v>
      </c>
      <c r="G23">
        <f t="shared" si="0"/>
        <v>2.4900000000000091</v>
      </c>
      <c r="H23">
        <f t="shared" si="1"/>
        <v>0</v>
      </c>
      <c r="I23">
        <f t="shared" si="2"/>
        <v>0</v>
      </c>
    </row>
    <row r="24" spans="1:12" x14ac:dyDescent="0.25">
      <c r="A24">
        <v>235.47</v>
      </c>
      <c r="B24">
        <v>-127.67</v>
      </c>
      <c r="C24">
        <v>119.53</v>
      </c>
      <c r="E24" t="s">
        <v>27</v>
      </c>
      <c r="G24">
        <f t="shared" si="0"/>
        <v>2.6099999999999852</v>
      </c>
      <c r="H24">
        <f t="shared" si="1"/>
        <v>0</v>
      </c>
      <c r="I24">
        <f t="shared" si="2"/>
        <v>-0.12000000000000455</v>
      </c>
    </row>
    <row r="25" spans="1:12" x14ac:dyDescent="0.25">
      <c r="A25">
        <v>232.86</v>
      </c>
      <c r="B25">
        <v>-127.67</v>
      </c>
      <c r="C25">
        <v>119.65</v>
      </c>
      <c r="E25" t="s">
        <v>28</v>
      </c>
      <c r="G25">
        <f t="shared" si="0"/>
        <v>2.4800000000000182</v>
      </c>
      <c r="H25">
        <f t="shared" si="1"/>
        <v>0</v>
      </c>
      <c r="I25">
        <f t="shared" si="2"/>
        <v>0</v>
      </c>
    </row>
    <row r="26" spans="1:12" ht="13.6" customHeight="1" x14ac:dyDescent="0.25">
      <c r="A26">
        <v>230.38</v>
      </c>
      <c r="B26">
        <v>-127.67</v>
      </c>
      <c r="C26">
        <v>119.65</v>
      </c>
      <c r="E26" t="s">
        <v>29</v>
      </c>
    </row>
    <row r="27" spans="1:12" x14ac:dyDescent="0.25">
      <c r="A27">
        <v>274.24</v>
      </c>
      <c r="B27">
        <v>-145.36000000000001</v>
      </c>
      <c r="C27">
        <v>111.06</v>
      </c>
      <c r="E27" t="s">
        <v>139</v>
      </c>
      <c r="J27">
        <f>A27-A28</f>
        <v>5.0799999999999841</v>
      </c>
      <c r="K27">
        <f>B27-B28</f>
        <v>0</v>
      </c>
      <c r="L27">
        <f>C27-C28</f>
        <v>0</v>
      </c>
    </row>
    <row r="28" spans="1:12" x14ac:dyDescent="0.25">
      <c r="A28">
        <v>269.16000000000003</v>
      </c>
      <c r="B28">
        <v>-145.36000000000001</v>
      </c>
      <c r="C28">
        <v>111.06</v>
      </c>
      <c r="E28" t="s">
        <v>31</v>
      </c>
      <c r="G28">
        <f t="shared" si="0"/>
        <v>2.4399999999999977</v>
      </c>
      <c r="H28">
        <f t="shared" si="1"/>
        <v>0</v>
      </c>
      <c r="I28">
        <f t="shared" si="2"/>
        <v>0</v>
      </c>
    </row>
    <row r="29" spans="1:12" x14ac:dyDescent="0.25">
      <c r="A29">
        <v>266.72000000000003</v>
      </c>
      <c r="B29">
        <v>-145.36000000000001</v>
      </c>
      <c r="C29">
        <v>111.06</v>
      </c>
      <c r="E29" t="s">
        <v>32</v>
      </c>
      <c r="G29">
        <f t="shared" si="0"/>
        <v>2.6800000000000068</v>
      </c>
      <c r="H29">
        <f t="shared" si="1"/>
        <v>0.14999999999997726</v>
      </c>
      <c r="I29">
        <f t="shared" si="2"/>
        <v>9.0000000000003411E-2</v>
      </c>
    </row>
    <row r="30" spans="1:12" x14ac:dyDescent="0.25">
      <c r="A30">
        <v>264.04000000000002</v>
      </c>
      <c r="B30">
        <v>-145.51</v>
      </c>
      <c r="C30">
        <v>110.97</v>
      </c>
      <c r="E30" t="s">
        <v>33</v>
      </c>
      <c r="G30">
        <f t="shared" si="0"/>
        <v>2.8300000000000409</v>
      </c>
      <c r="H30">
        <f t="shared" si="1"/>
        <v>0</v>
      </c>
      <c r="I30">
        <f t="shared" si="2"/>
        <v>0</v>
      </c>
    </row>
    <row r="31" spans="1:12" x14ac:dyDescent="0.25">
      <c r="A31">
        <v>261.20999999999998</v>
      </c>
      <c r="B31">
        <v>-145.51</v>
      </c>
      <c r="C31">
        <v>110.97</v>
      </c>
      <c r="E31" t="s">
        <v>34</v>
      </c>
      <c r="G31">
        <f t="shared" si="0"/>
        <v>2.4599999999999795</v>
      </c>
      <c r="H31">
        <f t="shared" si="1"/>
        <v>0</v>
      </c>
      <c r="I31">
        <f t="shared" si="2"/>
        <v>0</v>
      </c>
    </row>
    <row r="32" spans="1:12" x14ac:dyDescent="0.25">
      <c r="A32">
        <v>258.75</v>
      </c>
      <c r="B32">
        <v>-145.51</v>
      </c>
      <c r="C32">
        <v>110.97</v>
      </c>
      <c r="E32" t="s">
        <v>35</v>
      </c>
      <c r="G32">
        <f t="shared" si="0"/>
        <v>2.4599999999999795</v>
      </c>
      <c r="H32">
        <f t="shared" si="1"/>
        <v>0</v>
      </c>
      <c r="I32">
        <f t="shared" si="2"/>
        <v>0</v>
      </c>
    </row>
    <row r="33" spans="1:12" x14ac:dyDescent="0.25">
      <c r="A33">
        <v>256.29000000000002</v>
      </c>
      <c r="B33">
        <v>-145.51</v>
      </c>
      <c r="C33">
        <v>110.97</v>
      </c>
      <c r="E33" t="s">
        <v>36</v>
      </c>
      <c r="G33">
        <f t="shared" si="0"/>
        <v>2.5400000000000205</v>
      </c>
      <c r="H33">
        <f t="shared" si="1"/>
        <v>0</v>
      </c>
      <c r="I33">
        <f t="shared" si="2"/>
        <v>0</v>
      </c>
    </row>
    <row r="34" spans="1:12" x14ac:dyDescent="0.25">
      <c r="A34">
        <v>253.75</v>
      </c>
      <c r="B34">
        <v>-145.51</v>
      </c>
      <c r="C34">
        <v>110.97</v>
      </c>
      <c r="E34" t="s">
        <v>37</v>
      </c>
      <c r="G34">
        <f t="shared" si="0"/>
        <v>2.460000000000008</v>
      </c>
      <c r="H34">
        <f t="shared" si="1"/>
        <v>0</v>
      </c>
      <c r="I34">
        <f t="shared" si="2"/>
        <v>0</v>
      </c>
    </row>
    <row r="35" spans="1:12" x14ac:dyDescent="0.25">
      <c r="A35">
        <v>251.29</v>
      </c>
      <c r="B35">
        <v>-145.51</v>
      </c>
      <c r="C35">
        <v>110.97</v>
      </c>
      <c r="E35" t="s">
        <v>38</v>
      </c>
      <c r="G35">
        <f t="shared" si="0"/>
        <v>2.6999999999999886</v>
      </c>
      <c r="H35">
        <f t="shared" si="1"/>
        <v>0</v>
      </c>
      <c r="I35">
        <f t="shared" si="2"/>
        <v>0</v>
      </c>
    </row>
    <row r="36" spans="1:12" x14ac:dyDescent="0.25">
      <c r="A36">
        <v>248.59</v>
      </c>
      <c r="B36">
        <v>-145.51</v>
      </c>
      <c r="C36">
        <v>110.97</v>
      </c>
      <c r="E36" t="s">
        <v>39</v>
      </c>
      <c r="G36">
        <f t="shared" si="0"/>
        <v>2.7700000000000102</v>
      </c>
      <c r="H36">
        <f t="shared" si="1"/>
        <v>0</v>
      </c>
      <c r="I36">
        <f t="shared" si="2"/>
        <v>0</v>
      </c>
    </row>
    <row r="37" spans="1:12" x14ac:dyDescent="0.25">
      <c r="A37">
        <v>245.82</v>
      </c>
      <c r="B37">
        <v>-145.51</v>
      </c>
      <c r="C37">
        <v>110.97</v>
      </c>
      <c r="E37" t="s">
        <v>40</v>
      </c>
      <c r="G37">
        <f t="shared" si="0"/>
        <v>2.1099999999999852</v>
      </c>
      <c r="H37">
        <f t="shared" si="1"/>
        <v>-0.23999999999998067</v>
      </c>
      <c r="I37">
        <f t="shared" si="2"/>
        <v>-0.18000000000000682</v>
      </c>
    </row>
    <row r="38" spans="1:12" x14ac:dyDescent="0.25">
      <c r="A38">
        <v>243.71</v>
      </c>
      <c r="B38">
        <v>-145.27000000000001</v>
      </c>
      <c r="C38">
        <v>111.15</v>
      </c>
      <c r="E38" t="s">
        <v>41</v>
      </c>
      <c r="G38">
        <f t="shared" si="0"/>
        <v>2.3000000000000114</v>
      </c>
      <c r="H38">
        <f t="shared" si="1"/>
        <v>4.9999999999982947E-2</v>
      </c>
      <c r="I38">
        <f t="shared" si="2"/>
        <v>1.0000000000005116E-2</v>
      </c>
      <c r="K38">
        <f>5.22</f>
        <v>5.22</v>
      </c>
    </row>
    <row r="39" spans="1:12" x14ac:dyDescent="0.25">
      <c r="A39">
        <v>241.41</v>
      </c>
      <c r="B39">
        <v>-145.32</v>
      </c>
      <c r="C39">
        <v>111.14</v>
      </c>
      <c r="E39" t="s">
        <v>42</v>
      </c>
      <c r="G39">
        <f t="shared" si="0"/>
        <v>2.4199999999999875</v>
      </c>
      <c r="H39">
        <f t="shared" si="1"/>
        <v>0</v>
      </c>
      <c r="I39">
        <f t="shared" si="2"/>
        <v>0</v>
      </c>
    </row>
    <row r="40" spans="1:12" x14ac:dyDescent="0.25">
      <c r="A40">
        <v>238.99</v>
      </c>
      <c r="B40">
        <v>-145.32</v>
      </c>
      <c r="C40">
        <v>111.14</v>
      </c>
      <c r="E40" t="s">
        <v>43</v>
      </c>
      <c r="G40">
        <f t="shared" si="0"/>
        <v>2.8600000000000136</v>
      </c>
      <c r="H40">
        <f t="shared" si="1"/>
        <v>0</v>
      </c>
      <c r="I40">
        <f t="shared" si="2"/>
        <v>0</v>
      </c>
    </row>
    <row r="41" spans="1:12" x14ac:dyDescent="0.25">
      <c r="A41">
        <v>236.13</v>
      </c>
      <c r="B41">
        <v>-145.32</v>
      </c>
      <c r="C41">
        <v>111.14</v>
      </c>
      <c r="E41" t="s">
        <v>44</v>
      </c>
      <c r="G41">
        <f t="shared" si="0"/>
        <v>1.6399999999999864</v>
      </c>
      <c r="H41">
        <f t="shared" si="1"/>
        <v>-1.0799999999999841</v>
      </c>
      <c r="I41">
        <f t="shared" si="2"/>
        <v>-0.85999999999999943</v>
      </c>
      <c r="K41">
        <f>7/22</f>
        <v>0.31818181818181818</v>
      </c>
      <c r="L41">
        <f>8/22</f>
        <v>0.36363636363636365</v>
      </c>
    </row>
    <row r="42" spans="1:12" x14ac:dyDescent="0.25">
      <c r="A42">
        <v>234.49</v>
      </c>
      <c r="B42">
        <v>-144.24</v>
      </c>
      <c r="C42">
        <v>112</v>
      </c>
      <c r="E42" t="s">
        <v>45</v>
      </c>
      <c r="G42">
        <f t="shared" si="0"/>
        <v>1.6700000000000159</v>
      </c>
      <c r="H42">
        <f t="shared" si="1"/>
        <v>-0.24000000000000909</v>
      </c>
      <c r="I42">
        <f t="shared" si="2"/>
        <v>-0.68000000000000682</v>
      </c>
      <c r="K42">
        <f>5/22</f>
        <v>0.22727272727272727</v>
      </c>
      <c r="L42">
        <f>6/22</f>
        <v>0.27272727272727271</v>
      </c>
    </row>
    <row r="43" spans="1:12" x14ac:dyDescent="0.25">
      <c r="A43">
        <v>232.82</v>
      </c>
      <c r="B43">
        <v>-144</v>
      </c>
      <c r="C43">
        <v>112.68</v>
      </c>
      <c r="E43" t="s">
        <v>46</v>
      </c>
      <c r="G43">
        <f t="shared" si="0"/>
        <v>2.3899999999999864</v>
      </c>
      <c r="H43">
        <f t="shared" si="1"/>
        <v>0</v>
      </c>
      <c r="I43">
        <f t="shared" si="2"/>
        <v>0</v>
      </c>
    </row>
    <row r="44" spans="1:12" x14ac:dyDescent="0.25">
      <c r="A44">
        <v>230.43</v>
      </c>
      <c r="B44">
        <v>-144</v>
      </c>
      <c r="C44">
        <v>112.68</v>
      </c>
      <c r="E44" t="s">
        <v>47</v>
      </c>
      <c r="G44">
        <f t="shared" si="0"/>
        <v>2.3199999999999932</v>
      </c>
      <c r="H44">
        <f t="shared" si="1"/>
        <v>0</v>
      </c>
      <c r="I44">
        <f t="shared" si="2"/>
        <v>0</v>
      </c>
    </row>
    <row r="45" spans="1:12" x14ac:dyDescent="0.25">
      <c r="A45">
        <v>228.11</v>
      </c>
      <c r="B45">
        <v>-144</v>
      </c>
      <c r="C45">
        <v>112.68</v>
      </c>
      <c r="E45" t="s">
        <v>48</v>
      </c>
      <c r="G45">
        <f t="shared" si="0"/>
        <v>2.5200000000000102</v>
      </c>
      <c r="H45">
        <f t="shared" si="1"/>
        <v>0</v>
      </c>
      <c r="I45">
        <f t="shared" si="2"/>
        <v>0</v>
      </c>
    </row>
    <row r="46" spans="1:12" x14ac:dyDescent="0.25">
      <c r="A46">
        <v>225.59</v>
      </c>
      <c r="B46">
        <v>-144</v>
      </c>
      <c r="C46">
        <v>112.68</v>
      </c>
      <c r="E46" t="s">
        <v>49</v>
      </c>
      <c r="G46">
        <f t="shared" si="0"/>
        <v>2.5300000000000011</v>
      </c>
      <c r="H46">
        <f t="shared" si="1"/>
        <v>0</v>
      </c>
      <c r="I46">
        <f t="shared" si="2"/>
        <v>5.0000000000011369E-2</v>
      </c>
    </row>
    <row r="47" spans="1:12" x14ac:dyDescent="0.25">
      <c r="A47">
        <v>223.06</v>
      </c>
      <c r="B47">
        <v>-144</v>
      </c>
      <c r="C47">
        <v>112.63</v>
      </c>
      <c r="E47" t="s">
        <v>50</v>
      </c>
    </row>
    <row r="48" spans="1:12" x14ac:dyDescent="0.25">
      <c r="A48">
        <v>276.69</v>
      </c>
      <c r="B48">
        <v>-151.46</v>
      </c>
      <c r="C48">
        <v>112.82</v>
      </c>
      <c r="E48" t="s">
        <v>140</v>
      </c>
      <c r="J48">
        <f>A48-A49</f>
        <v>5.4699999999999704</v>
      </c>
      <c r="K48">
        <f>B48-B49</f>
        <v>0</v>
      </c>
      <c r="L48">
        <f>C48-C49</f>
        <v>-1.0000000000005116E-2</v>
      </c>
    </row>
    <row r="49" spans="1:12" x14ac:dyDescent="0.25">
      <c r="A49">
        <v>271.22000000000003</v>
      </c>
      <c r="B49">
        <v>-151.46</v>
      </c>
      <c r="C49">
        <v>112.83</v>
      </c>
      <c r="E49" t="s">
        <v>52</v>
      </c>
      <c r="G49">
        <f t="shared" si="0"/>
        <v>2.5800000000000409</v>
      </c>
      <c r="H49">
        <f t="shared" si="1"/>
        <v>0</v>
      </c>
      <c r="I49">
        <f t="shared" si="2"/>
        <v>0</v>
      </c>
    </row>
    <row r="50" spans="1:12" x14ac:dyDescent="0.25">
      <c r="A50">
        <v>268.64</v>
      </c>
      <c r="B50">
        <v>-151.46</v>
      </c>
      <c r="C50">
        <v>112.83</v>
      </c>
      <c r="E50" t="s">
        <v>53</v>
      </c>
      <c r="G50">
        <f t="shared" si="0"/>
        <v>2.6599999999999682</v>
      </c>
      <c r="H50">
        <f t="shared" si="1"/>
        <v>0</v>
      </c>
      <c r="I50">
        <f t="shared" si="2"/>
        <v>0</v>
      </c>
    </row>
    <row r="51" spans="1:12" x14ac:dyDescent="0.25">
      <c r="A51">
        <v>265.98</v>
      </c>
      <c r="B51">
        <v>-151.46</v>
      </c>
      <c r="C51">
        <v>112.83</v>
      </c>
      <c r="E51" t="s">
        <v>54</v>
      </c>
      <c r="G51">
        <f t="shared" si="0"/>
        <v>2.4900000000000091</v>
      </c>
      <c r="H51">
        <f t="shared" si="1"/>
        <v>0</v>
      </c>
      <c r="I51">
        <f t="shared" si="2"/>
        <v>0</v>
      </c>
    </row>
    <row r="52" spans="1:12" x14ac:dyDescent="0.25">
      <c r="A52">
        <v>263.49</v>
      </c>
      <c r="B52">
        <v>-151.46</v>
      </c>
      <c r="C52">
        <v>112.83</v>
      </c>
      <c r="E52" t="s">
        <v>55</v>
      </c>
      <c r="G52">
        <f t="shared" si="0"/>
        <v>2.6399999999999864</v>
      </c>
      <c r="H52">
        <f t="shared" si="1"/>
        <v>0</v>
      </c>
      <c r="I52">
        <f t="shared" si="2"/>
        <v>1.0000000000005116E-2</v>
      </c>
    </row>
    <row r="53" spans="1:12" x14ac:dyDescent="0.25">
      <c r="A53">
        <v>260.85000000000002</v>
      </c>
      <c r="B53">
        <v>-151.46</v>
      </c>
      <c r="C53">
        <v>112.82</v>
      </c>
      <c r="E53" t="s">
        <v>56</v>
      </c>
      <c r="G53">
        <f t="shared" si="0"/>
        <v>2.4800000000000182</v>
      </c>
      <c r="H53">
        <f t="shared" si="1"/>
        <v>0</v>
      </c>
      <c r="I53">
        <f t="shared" si="2"/>
        <v>-1.0000000000005116E-2</v>
      </c>
    </row>
    <row r="54" spans="1:12" x14ac:dyDescent="0.25">
      <c r="A54">
        <v>258.37</v>
      </c>
      <c r="B54">
        <v>-151.46</v>
      </c>
      <c r="C54">
        <v>112.83</v>
      </c>
      <c r="E54" t="s">
        <v>57</v>
      </c>
      <c r="G54">
        <f t="shared" si="0"/>
        <v>2.3199999999999932</v>
      </c>
      <c r="H54">
        <f t="shared" si="1"/>
        <v>0</v>
      </c>
      <c r="I54">
        <f t="shared" si="2"/>
        <v>0</v>
      </c>
      <c r="K54">
        <f>1/22</f>
        <v>4.5454545454545456E-2</v>
      </c>
      <c r="L54">
        <f>7/22</f>
        <v>0.31818181818181818</v>
      </c>
    </row>
    <row r="55" spans="1:12" x14ac:dyDescent="0.25">
      <c r="A55">
        <v>256.05</v>
      </c>
      <c r="B55">
        <v>-151.46</v>
      </c>
      <c r="C55">
        <v>112.83</v>
      </c>
      <c r="E55" t="s">
        <v>58</v>
      </c>
      <c r="G55">
        <f t="shared" si="0"/>
        <v>2.7300000000000182</v>
      </c>
      <c r="H55">
        <f t="shared" si="1"/>
        <v>0</v>
      </c>
      <c r="I55">
        <f t="shared" si="2"/>
        <v>0</v>
      </c>
    </row>
    <row r="56" spans="1:12" x14ac:dyDescent="0.25">
      <c r="A56">
        <v>253.32</v>
      </c>
      <c r="B56">
        <v>-151.46</v>
      </c>
      <c r="C56">
        <v>112.83</v>
      </c>
      <c r="E56" t="s">
        <v>59</v>
      </c>
      <c r="G56">
        <f t="shared" si="0"/>
        <v>2.4699999999999989</v>
      </c>
      <c r="H56">
        <f t="shared" si="1"/>
        <v>0</v>
      </c>
      <c r="I56">
        <f t="shared" si="2"/>
        <v>0</v>
      </c>
    </row>
    <row r="57" spans="1:12" x14ac:dyDescent="0.25">
      <c r="A57">
        <v>250.85</v>
      </c>
      <c r="B57">
        <v>-151.46</v>
      </c>
      <c r="C57">
        <v>112.83</v>
      </c>
      <c r="E57" t="s">
        <v>60</v>
      </c>
      <c r="G57">
        <f t="shared" si="0"/>
        <v>2.5600000000000023</v>
      </c>
      <c r="H57">
        <f t="shared" si="1"/>
        <v>0</v>
      </c>
      <c r="I57">
        <f t="shared" si="2"/>
        <v>0</v>
      </c>
    </row>
    <row r="58" spans="1:12" x14ac:dyDescent="0.25">
      <c r="A58">
        <v>248.29</v>
      </c>
      <c r="B58">
        <v>-151.46</v>
      </c>
      <c r="C58">
        <v>112.83</v>
      </c>
      <c r="E58" t="s">
        <v>61</v>
      </c>
      <c r="G58">
        <f t="shared" si="0"/>
        <v>2.4699999999999989</v>
      </c>
      <c r="H58">
        <f t="shared" si="1"/>
        <v>0</v>
      </c>
      <c r="I58">
        <f t="shared" si="2"/>
        <v>0</v>
      </c>
    </row>
    <row r="59" spans="1:12" x14ac:dyDescent="0.25">
      <c r="A59">
        <v>245.82</v>
      </c>
      <c r="B59">
        <v>-151.46</v>
      </c>
      <c r="C59">
        <v>112.83</v>
      </c>
      <c r="E59" t="s">
        <v>62</v>
      </c>
      <c r="G59">
        <f t="shared" si="0"/>
        <v>2.2299999999999898</v>
      </c>
      <c r="H59">
        <f t="shared" si="1"/>
        <v>0</v>
      </c>
      <c r="I59">
        <f t="shared" si="2"/>
        <v>1.0000000000005116E-2</v>
      </c>
    </row>
    <row r="60" spans="1:12" x14ac:dyDescent="0.25">
      <c r="A60">
        <v>243.59</v>
      </c>
      <c r="B60">
        <v>-151.46</v>
      </c>
      <c r="C60">
        <v>112.82</v>
      </c>
      <c r="E60" t="s">
        <v>63</v>
      </c>
      <c r="G60">
        <f t="shared" si="0"/>
        <v>2.5800000000000125</v>
      </c>
      <c r="H60">
        <f t="shared" si="1"/>
        <v>0</v>
      </c>
      <c r="I60">
        <f t="shared" si="2"/>
        <v>-1.0000000000005116E-2</v>
      </c>
    </row>
    <row r="61" spans="1:12" x14ac:dyDescent="0.25">
      <c r="A61">
        <v>241.01</v>
      </c>
      <c r="B61">
        <v>-151.46</v>
      </c>
      <c r="C61">
        <v>112.83</v>
      </c>
      <c r="E61" t="s">
        <v>64</v>
      </c>
      <c r="G61">
        <f t="shared" si="0"/>
        <v>2.6099999999999852</v>
      </c>
      <c r="H61">
        <f t="shared" si="1"/>
        <v>0</v>
      </c>
      <c r="I61">
        <f t="shared" si="2"/>
        <v>0</v>
      </c>
    </row>
    <row r="62" spans="1:12" x14ac:dyDescent="0.25">
      <c r="A62">
        <v>238.4</v>
      </c>
      <c r="B62">
        <v>-151.46</v>
      </c>
      <c r="C62">
        <v>112.83</v>
      </c>
      <c r="E62" t="s">
        <v>65</v>
      </c>
      <c r="G62">
        <f t="shared" si="0"/>
        <v>2.6599999999999966</v>
      </c>
      <c r="H62">
        <f t="shared" si="1"/>
        <v>0</v>
      </c>
      <c r="I62">
        <f t="shared" si="2"/>
        <v>1.0000000000005116E-2</v>
      </c>
    </row>
    <row r="63" spans="1:12" x14ac:dyDescent="0.25">
      <c r="A63">
        <v>235.74</v>
      </c>
      <c r="B63">
        <v>-151.46</v>
      </c>
      <c r="C63">
        <v>112.82</v>
      </c>
      <c r="E63" t="s">
        <v>66</v>
      </c>
      <c r="G63">
        <f t="shared" si="0"/>
        <v>2.3799999999999955</v>
      </c>
      <c r="H63">
        <f t="shared" si="1"/>
        <v>0</v>
      </c>
      <c r="I63">
        <f t="shared" si="2"/>
        <v>-1.0000000000005116E-2</v>
      </c>
    </row>
    <row r="64" spans="1:12" x14ac:dyDescent="0.25">
      <c r="A64">
        <v>233.36</v>
      </c>
      <c r="B64">
        <v>-151.46</v>
      </c>
      <c r="C64">
        <v>112.83</v>
      </c>
      <c r="E64" t="s">
        <v>67</v>
      </c>
      <c r="G64">
        <f t="shared" si="0"/>
        <v>2.5600000000000023</v>
      </c>
      <c r="H64">
        <f t="shared" si="1"/>
        <v>0</v>
      </c>
      <c r="I64">
        <f t="shared" si="2"/>
        <v>0</v>
      </c>
    </row>
    <row r="65" spans="1:12" x14ac:dyDescent="0.25">
      <c r="A65">
        <v>230.8</v>
      </c>
      <c r="B65">
        <v>-151.46</v>
      </c>
      <c r="C65">
        <v>112.83</v>
      </c>
      <c r="E65" t="s">
        <v>68</v>
      </c>
      <c r="G65">
        <f t="shared" si="0"/>
        <v>2.8500000000000227</v>
      </c>
      <c r="H65">
        <f t="shared" si="1"/>
        <v>0</v>
      </c>
      <c r="I65">
        <f t="shared" si="2"/>
        <v>0</v>
      </c>
    </row>
    <row r="66" spans="1:12" x14ac:dyDescent="0.25">
      <c r="A66">
        <v>227.95</v>
      </c>
      <c r="B66">
        <v>-151.46</v>
      </c>
      <c r="C66">
        <v>112.83</v>
      </c>
      <c r="E66" t="s">
        <v>69</v>
      </c>
      <c r="G66">
        <f t="shared" si="0"/>
        <v>1.1799999999999784</v>
      </c>
      <c r="H66">
        <f t="shared" si="1"/>
        <v>-1.8200000000000216</v>
      </c>
      <c r="I66">
        <f t="shared" si="2"/>
        <v>-1.1000000000000085</v>
      </c>
    </row>
    <row r="67" spans="1:12" x14ac:dyDescent="0.25">
      <c r="A67">
        <v>226.77</v>
      </c>
      <c r="B67">
        <v>-149.63999999999999</v>
      </c>
      <c r="C67">
        <v>113.93</v>
      </c>
      <c r="E67" t="s">
        <v>70</v>
      </c>
      <c r="G67">
        <f t="shared" ref="G67:G130" si="3">A67-A68</f>
        <v>2.6100000000000136</v>
      </c>
      <c r="H67">
        <f t="shared" ref="H67:H130" si="4">B67-B68</f>
        <v>0</v>
      </c>
      <c r="I67">
        <f t="shared" ref="I67:I130" si="5">C67-C68</f>
        <v>0</v>
      </c>
    </row>
    <row r="68" spans="1:12" x14ac:dyDescent="0.25">
      <c r="A68">
        <v>224.16</v>
      </c>
      <c r="B68">
        <v>-149.63999999999999</v>
      </c>
      <c r="C68">
        <v>113.93</v>
      </c>
      <c r="E68" t="s">
        <v>71</v>
      </c>
    </row>
    <row r="69" spans="1:12" x14ac:dyDescent="0.25">
      <c r="A69">
        <v>277.39</v>
      </c>
      <c r="B69">
        <v>-157.32</v>
      </c>
      <c r="C69">
        <v>114.09</v>
      </c>
      <c r="E69" t="s">
        <v>141</v>
      </c>
      <c r="J69">
        <f>A69-A70</f>
        <v>4.9399999999999977</v>
      </c>
      <c r="K69">
        <f>B69-B70</f>
        <v>0</v>
      </c>
      <c r="L69">
        <f>C69-C70</f>
        <v>0</v>
      </c>
    </row>
    <row r="70" spans="1:12" x14ac:dyDescent="0.25">
      <c r="A70">
        <v>272.45</v>
      </c>
      <c r="B70">
        <v>-157.32</v>
      </c>
      <c r="C70">
        <v>114.09</v>
      </c>
      <c r="E70" t="s">
        <v>73</v>
      </c>
      <c r="G70">
        <f t="shared" si="3"/>
        <v>3.4200000000000159</v>
      </c>
      <c r="H70">
        <f t="shared" si="4"/>
        <v>1.4500000000000171</v>
      </c>
      <c r="I70">
        <f t="shared" si="5"/>
        <v>1.5799999999999983</v>
      </c>
    </row>
    <row r="71" spans="1:12" x14ac:dyDescent="0.25">
      <c r="A71">
        <v>269.02999999999997</v>
      </c>
      <c r="B71">
        <v>-158.77000000000001</v>
      </c>
      <c r="C71">
        <v>112.51</v>
      </c>
      <c r="E71" t="s">
        <v>74</v>
      </c>
      <c r="G71">
        <f t="shared" si="3"/>
        <v>2.7299999999999613</v>
      </c>
      <c r="H71">
        <f t="shared" si="4"/>
        <v>0</v>
      </c>
      <c r="I71">
        <f t="shared" si="5"/>
        <v>0</v>
      </c>
    </row>
    <row r="72" spans="1:12" x14ac:dyDescent="0.25">
      <c r="A72">
        <v>266.3</v>
      </c>
      <c r="B72">
        <v>-158.77000000000001</v>
      </c>
      <c r="C72">
        <v>112.51</v>
      </c>
      <c r="E72" t="s">
        <v>75</v>
      </c>
      <c r="G72">
        <f t="shared" si="3"/>
        <v>2.5</v>
      </c>
      <c r="H72">
        <f t="shared" si="4"/>
        <v>0</v>
      </c>
      <c r="I72">
        <f t="shared" si="5"/>
        <v>0</v>
      </c>
    </row>
    <row r="73" spans="1:12" x14ac:dyDescent="0.25">
      <c r="A73">
        <v>263.8</v>
      </c>
      <c r="B73">
        <v>-158.77000000000001</v>
      </c>
      <c r="C73">
        <v>112.51</v>
      </c>
      <c r="E73" t="s">
        <v>76</v>
      </c>
      <c r="G73">
        <f t="shared" si="3"/>
        <v>2.8100000000000023</v>
      </c>
      <c r="H73">
        <f t="shared" si="4"/>
        <v>0</v>
      </c>
      <c r="I73">
        <f t="shared" si="5"/>
        <v>0</v>
      </c>
    </row>
    <row r="74" spans="1:12" x14ac:dyDescent="0.25">
      <c r="A74">
        <v>260.99</v>
      </c>
      <c r="B74">
        <v>-158.77000000000001</v>
      </c>
      <c r="C74">
        <v>112.51</v>
      </c>
      <c r="E74" t="s">
        <v>77</v>
      </c>
      <c r="G74">
        <f t="shared" si="3"/>
        <v>2.6500000000000341</v>
      </c>
      <c r="H74">
        <f t="shared" si="4"/>
        <v>9.0000000000003411E-2</v>
      </c>
      <c r="I74">
        <f t="shared" si="5"/>
        <v>2.0000000000010232E-2</v>
      </c>
    </row>
    <row r="75" spans="1:12" x14ac:dyDescent="0.25">
      <c r="A75">
        <v>258.33999999999997</v>
      </c>
      <c r="B75">
        <v>-158.86000000000001</v>
      </c>
      <c r="C75">
        <v>112.49</v>
      </c>
      <c r="E75" t="s">
        <v>78</v>
      </c>
      <c r="G75">
        <f t="shared" si="3"/>
        <v>2.2599999999999909</v>
      </c>
      <c r="H75">
        <f t="shared" si="4"/>
        <v>-0.21000000000000796</v>
      </c>
      <c r="I75">
        <f t="shared" si="5"/>
        <v>0</v>
      </c>
    </row>
    <row r="76" spans="1:12" x14ac:dyDescent="0.25">
      <c r="A76">
        <v>256.08</v>
      </c>
      <c r="B76">
        <v>-158.65</v>
      </c>
      <c r="C76">
        <v>112.49</v>
      </c>
      <c r="E76" t="s">
        <v>79</v>
      </c>
      <c r="G76">
        <f t="shared" si="3"/>
        <v>-0.52000000000003865</v>
      </c>
      <c r="H76">
        <f t="shared" si="4"/>
        <v>-3.8400000000000034</v>
      </c>
      <c r="I76">
        <f t="shared" si="5"/>
        <v>-3.230000000000004</v>
      </c>
    </row>
    <row r="77" spans="1:12" x14ac:dyDescent="0.25">
      <c r="A77">
        <v>256.60000000000002</v>
      </c>
      <c r="B77">
        <v>-154.81</v>
      </c>
      <c r="C77">
        <v>115.72</v>
      </c>
      <c r="E77" t="s">
        <v>80</v>
      </c>
      <c r="G77">
        <f t="shared" si="3"/>
        <v>2.2000000000000171</v>
      </c>
      <c r="H77">
        <f t="shared" si="4"/>
        <v>0</v>
      </c>
      <c r="I77">
        <f t="shared" si="5"/>
        <v>0</v>
      </c>
      <c r="K77">
        <f>8/22</f>
        <v>0.36363636363636365</v>
      </c>
      <c r="L77">
        <f>6/22</f>
        <v>0.27272727272727271</v>
      </c>
    </row>
    <row r="78" spans="1:12" x14ac:dyDescent="0.25">
      <c r="A78">
        <v>254.4</v>
      </c>
      <c r="B78">
        <v>-154.81</v>
      </c>
      <c r="C78">
        <v>115.72</v>
      </c>
      <c r="E78" t="s">
        <v>81</v>
      </c>
      <c r="G78">
        <f t="shared" si="3"/>
        <v>2.75</v>
      </c>
      <c r="H78">
        <f t="shared" si="4"/>
        <v>0</v>
      </c>
      <c r="I78">
        <f t="shared" si="5"/>
        <v>0</v>
      </c>
    </row>
    <row r="79" spans="1:12" x14ac:dyDescent="0.25">
      <c r="A79">
        <v>251.65</v>
      </c>
      <c r="B79">
        <v>-154.81</v>
      </c>
      <c r="C79">
        <v>115.72</v>
      </c>
      <c r="E79" t="s">
        <v>82</v>
      </c>
      <c r="G79">
        <f t="shared" si="3"/>
        <v>2.289999999999992</v>
      </c>
      <c r="H79">
        <f t="shared" si="4"/>
        <v>0</v>
      </c>
      <c r="I79">
        <f t="shared" si="5"/>
        <v>0</v>
      </c>
    </row>
    <row r="80" spans="1:12" x14ac:dyDescent="0.25">
      <c r="A80">
        <v>249.36</v>
      </c>
      <c r="B80">
        <v>-154.81</v>
      </c>
      <c r="C80">
        <v>115.72</v>
      </c>
      <c r="E80" t="s">
        <v>83</v>
      </c>
      <c r="G80">
        <f t="shared" si="3"/>
        <v>2.8400000000000034</v>
      </c>
      <c r="H80">
        <f t="shared" si="4"/>
        <v>0</v>
      </c>
      <c r="I80">
        <f t="shared" si="5"/>
        <v>0</v>
      </c>
    </row>
    <row r="81" spans="1:12" x14ac:dyDescent="0.25">
      <c r="A81">
        <v>246.52</v>
      </c>
      <c r="B81">
        <v>-154.81</v>
      </c>
      <c r="C81">
        <v>115.72</v>
      </c>
      <c r="E81" t="s">
        <v>84</v>
      </c>
      <c r="G81">
        <f t="shared" si="3"/>
        <v>1.8900000000000148</v>
      </c>
      <c r="H81">
        <f t="shared" si="4"/>
        <v>0</v>
      </c>
      <c r="I81">
        <f t="shared" si="5"/>
        <v>0</v>
      </c>
    </row>
    <row r="82" spans="1:12" x14ac:dyDescent="0.25">
      <c r="A82">
        <v>244.63</v>
      </c>
      <c r="B82">
        <v>-154.81</v>
      </c>
      <c r="C82">
        <v>115.72</v>
      </c>
      <c r="E82" t="s">
        <v>85</v>
      </c>
      <c r="G82">
        <f t="shared" si="3"/>
        <v>3.1399999999999864</v>
      </c>
      <c r="H82">
        <f t="shared" si="4"/>
        <v>0.22999999999998977</v>
      </c>
      <c r="I82">
        <f t="shared" si="5"/>
        <v>0</v>
      </c>
    </row>
    <row r="83" spans="1:12" x14ac:dyDescent="0.25">
      <c r="A83">
        <v>241.49</v>
      </c>
      <c r="B83">
        <v>-155.04</v>
      </c>
      <c r="C83">
        <v>115.72</v>
      </c>
      <c r="E83" t="s">
        <v>86</v>
      </c>
      <c r="G83">
        <f t="shared" si="3"/>
        <v>3.0200000000000102</v>
      </c>
      <c r="H83">
        <f t="shared" si="4"/>
        <v>0</v>
      </c>
      <c r="I83">
        <f t="shared" si="5"/>
        <v>0</v>
      </c>
    </row>
    <row r="84" spans="1:12" x14ac:dyDescent="0.25">
      <c r="A84">
        <v>238.47</v>
      </c>
      <c r="B84">
        <v>-155.04</v>
      </c>
      <c r="C84">
        <v>115.72</v>
      </c>
      <c r="E84" t="s">
        <v>87</v>
      </c>
      <c r="G84">
        <f t="shared" si="3"/>
        <v>2.1899999999999977</v>
      </c>
      <c r="H84">
        <f t="shared" si="4"/>
        <v>0</v>
      </c>
      <c r="I84">
        <f t="shared" si="5"/>
        <v>0</v>
      </c>
    </row>
    <row r="85" spans="1:12" x14ac:dyDescent="0.25">
      <c r="A85">
        <v>236.28</v>
      </c>
      <c r="B85">
        <v>-155.04</v>
      </c>
      <c r="C85">
        <v>115.72</v>
      </c>
      <c r="E85" t="s">
        <v>88</v>
      </c>
      <c r="G85">
        <f t="shared" si="3"/>
        <v>2.3100000000000023</v>
      </c>
      <c r="H85">
        <f t="shared" si="4"/>
        <v>0</v>
      </c>
      <c r="I85">
        <f t="shared" si="5"/>
        <v>0</v>
      </c>
    </row>
    <row r="86" spans="1:12" x14ac:dyDescent="0.25">
      <c r="A86">
        <v>233.97</v>
      </c>
      <c r="B86">
        <v>-155.04</v>
      </c>
      <c r="C86">
        <v>115.72</v>
      </c>
      <c r="E86" t="s">
        <v>89</v>
      </c>
      <c r="G86">
        <f t="shared" si="3"/>
        <v>2.3400000000000034</v>
      </c>
      <c r="H86">
        <f t="shared" si="4"/>
        <v>-0.37000000000000455</v>
      </c>
      <c r="I86">
        <f t="shared" si="5"/>
        <v>-4.0000000000006253E-2</v>
      </c>
    </row>
    <row r="87" spans="1:12" x14ac:dyDescent="0.25">
      <c r="A87">
        <v>231.63</v>
      </c>
      <c r="B87">
        <v>-154.66999999999999</v>
      </c>
      <c r="C87">
        <v>115.76</v>
      </c>
      <c r="E87" t="s">
        <v>90</v>
      </c>
      <c r="G87">
        <f t="shared" si="3"/>
        <v>2.8599999999999852</v>
      </c>
      <c r="H87">
        <f t="shared" si="4"/>
        <v>5.0000000000011369E-2</v>
      </c>
      <c r="I87">
        <f t="shared" si="5"/>
        <v>0.20000000000000284</v>
      </c>
    </row>
    <row r="88" spans="1:12" x14ac:dyDescent="0.25">
      <c r="A88">
        <v>228.77</v>
      </c>
      <c r="B88">
        <v>-154.72</v>
      </c>
      <c r="C88">
        <v>115.56</v>
      </c>
      <c r="E88" t="s">
        <v>91</v>
      </c>
      <c r="G88">
        <f t="shared" si="3"/>
        <v>3.0000000000001137E-2</v>
      </c>
      <c r="H88">
        <f t="shared" si="4"/>
        <v>-2.3899999999999864</v>
      </c>
      <c r="I88">
        <f t="shared" si="5"/>
        <v>-1.9099999999999966</v>
      </c>
    </row>
    <row r="89" spans="1:12" x14ac:dyDescent="0.25">
      <c r="A89">
        <v>228.74</v>
      </c>
      <c r="B89">
        <v>-152.33000000000001</v>
      </c>
      <c r="C89">
        <v>117.47</v>
      </c>
      <c r="E89" t="s">
        <v>92</v>
      </c>
    </row>
    <row r="90" spans="1:12" x14ac:dyDescent="0.25">
      <c r="A90">
        <v>280.83999999999997</v>
      </c>
      <c r="B90">
        <v>-160.68</v>
      </c>
      <c r="C90">
        <v>116.57</v>
      </c>
      <c r="E90" t="s">
        <v>142</v>
      </c>
      <c r="J90">
        <f>A90-A91</f>
        <v>4.8299999999999841</v>
      </c>
      <c r="K90">
        <f>B90-B91</f>
        <v>0</v>
      </c>
      <c r="L90">
        <f>C90-C91</f>
        <v>0</v>
      </c>
    </row>
    <row r="91" spans="1:12" x14ac:dyDescent="0.25">
      <c r="A91">
        <v>276.01</v>
      </c>
      <c r="B91">
        <v>-160.68</v>
      </c>
      <c r="C91">
        <v>116.57</v>
      </c>
      <c r="E91" t="s">
        <v>93</v>
      </c>
      <c r="G91">
        <f t="shared" si="3"/>
        <v>2.7699999999999818</v>
      </c>
      <c r="H91">
        <f t="shared" si="4"/>
        <v>0</v>
      </c>
      <c r="I91">
        <f t="shared" si="5"/>
        <v>0</v>
      </c>
    </row>
    <row r="92" spans="1:12" x14ac:dyDescent="0.25">
      <c r="A92">
        <v>273.24</v>
      </c>
      <c r="B92">
        <v>-160.68</v>
      </c>
      <c r="C92">
        <v>116.57</v>
      </c>
      <c r="E92" t="s">
        <v>94</v>
      </c>
      <c r="G92">
        <f t="shared" si="3"/>
        <v>2.4700000000000273</v>
      </c>
      <c r="H92">
        <f t="shared" si="4"/>
        <v>0</v>
      </c>
      <c r="I92">
        <f t="shared" si="5"/>
        <v>0</v>
      </c>
    </row>
    <row r="93" spans="1:12" x14ac:dyDescent="0.25">
      <c r="A93">
        <v>270.77</v>
      </c>
      <c r="B93">
        <v>-160.68</v>
      </c>
      <c r="C93">
        <v>116.57</v>
      </c>
      <c r="E93" t="s">
        <v>95</v>
      </c>
      <c r="G93">
        <f t="shared" si="3"/>
        <v>2.5999999999999659</v>
      </c>
      <c r="H93">
        <f t="shared" si="4"/>
        <v>0</v>
      </c>
      <c r="I93">
        <f t="shared" si="5"/>
        <v>0</v>
      </c>
    </row>
    <row r="94" spans="1:12" x14ac:dyDescent="0.25">
      <c r="A94">
        <v>268.17</v>
      </c>
      <c r="B94">
        <v>-160.68</v>
      </c>
      <c r="C94">
        <v>116.57</v>
      </c>
      <c r="E94" t="s">
        <v>96</v>
      </c>
      <c r="G94">
        <f t="shared" si="3"/>
        <v>2.4900000000000091</v>
      </c>
      <c r="H94">
        <f t="shared" si="4"/>
        <v>0</v>
      </c>
      <c r="I94">
        <f t="shared" si="5"/>
        <v>0</v>
      </c>
    </row>
    <row r="95" spans="1:12" x14ac:dyDescent="0.25">
      <c r="A95">
        <v>265.68</v>
      </c>
      <c r="B95">
        <v>-160.68</v>
      </c>
      <c r="C95">
        <v>116.57</v>
      </c>
      <c r="E95" t="s">
        <v>97</v>
      </c>
      <c r="G95">
        <f t="shared" si="3"/>
        <v>2.8100000000000023</v>
      </c>
      <c r="H95">
        <f t="shared" si="4"/>
        <v>0</v>
      </c>
      <c r="I95">
        <f t="shared" si="5"/>
        <v>0</v>
      </c>
    </row>
    <row r="96" spans="1:12" x14ac:dyDescent="0.25">
      <c r="A96">
        <v>262.87</v>
      </c>
      <c r="B96">
        <v>-160.68</v>
      </c>
      <c r="C96">
        <v>116.57</v>
      </c>
      <c r="E96" t="s">
        <v>98</v>
      </c>
      <c r="G96">
        <f t="shared" si="3"/>
        <v>-3.7199999999999704</v>
      </c>
      <c r="H96">
        <f t="shared" si="4"/>
        <v>-7.8700000000000045</v>
      </c>
      <c r="I96">
        <f t="shared" si="5"/>
        <v>-5.4400000000000119</v>
      </c>
    </row>
    <row r="97" spans="1:12" x14ac:dyDescent="0.25">
      <c r="A97">
        <v>266.58999999999997</v>
      </c>
      <c r="B97">
        <v>-152.81</v>
      </c>
      <c r="C97">
        <v>122.01</v>
      </c>
      <c r="E97" t="s">
        <v>99</v>
      </c>
      <c r="G97">
        <f t="shared" si="3"/>
        <v>-5.0000000000011369E-2</v>
      </c>
      <c r="H97">
        <f t="shared" si="4"/>
        <v>-3</v>
      </c>
      <c r="I97">
        <f t="shared" si="5"/>
        <v>-2.1299999999999955</v>
      </c>
    </row>
    <row r="98" spans="1:12" x14ac:dyDescent="0.25">
      <c r="A98">
        <v>266.64</v>
      </c>
      <c r="B98">
        <v>-149.81</v>
      </c>
      <c r="C98">
        <v>124.14</v>
      </c>
      <c r="E98" t="s">
        <v>100</v>
      </c>
      <c r="G98">
        <f>A98-A99</f>
        <v>10.159999999999968</v>
      </c>
      <c r="H98">
        <f>B98-B99</f>
        <v>10.870000000000005</v>
      </c>
      <c r="I98">
        <f>C98-C99</f>
        <v>7.25</v>
      </c>
    </row>
    <row r="99" spans="1:12" x14ac:dyDescent="0.25">
      <c r="A99">
        <v>256.48</v>
      </c>
      <c r="B99">
        <v>-160.68</v>
      </c>
      <c r="C99">
        <v>116.89</v>
      </c>
      <c r="E99" t="s">
        <v>101</v>
      </c>
      <c r="G99">
        <f t="shared" si="3"/>
        <v>2.410000000000025</v>
      </c>
      <c r="H99">
        <f t="shared" si="4"/>
        <v>-0.68000000000000682</v>
      </c>
      <c r="I99">
        <f t="shared" si="5"/>
        <v>-0.56000000000000227</v>
      </c>
    </row>
    <row r="100" spans="1:12" x14ac:dyDescent="0.25">
      <c r="A100">
        <v>254.07</v>
      </c>
      <c r="B100">
        <v>-160</v>
      </c>
      <c r="C100">
        <v>117.45</v>
      </c>
      <c r="E100" t="s">
        <v>102</v>
      </c>
      <c r="G100">
        <f t="shared" si="3"/>
        <v>2.3199999999999932</v>
      </c>
      <c r="H100">
        <f t="shared" si="4"/>
        <v>9.9999999999909051E-3</v>
      </c>
      <c r="I100">
        <f t="shared" si="5"/>
        <v>0</v>
      </c>
      <c r="K100">
        <f>7/22</f>
        <v>0.31818181818181818</v>
      </c>
      <c r="L100">
        <f>6/22</f>
        <v>0.27272727272727271</v>
      </c>
    </row>
    <row r="101" spans="1:12" x14ac:dyDescent="0.25">
      <c r="A101">
        <v>251.75</v>
      </c>
      <c r="B101">
        <v>-160.01</v>
      </c>
      <c r="C101">
        <v>117.45</v>
      </c>
      <c r="E101" t="s">
        <v>103</v>
      </c>
      <c r="G101">
        <f t="shared" si="3"/>
        <v>0.38999999999998636</v>
      </c>
      <c r="H101">
        <f t="shared" si="4"/>
        <v>-2.9699999999999989</v>
      </c>
      <c r="I101">
        <f t="shared" si="5"/>
        <v>-2.1400000000000006</v>
      </c>
    </row>
    <row r="102" spans="1:12" x14ac:dyDescent="0.25">
      <c r="A102">
        <v>251.36</v>
      </c>
      <c r="B102">
        <v>-157.04</v>
      </c>
      <c r="C102">
        <v>119.59</v>
      </c>
      <c r="E102" t="s">
        <v>104</v>
      </c>
      <c r="G102">
        <f t="shared" si="3"/>
        <v>2.3600000000000136</v>
      </c>
      <c r="H102">
        <f t="shared" si="4"/>
        <v>0</v>
      </c>
      <c r="I102">
        <f t="shared" si="5"/>
        <v>0</v>
      </c>
    </row>
    <row r="103" spans="1:12" x14ac:dyDescent="0.25">
      <c r="A103">
        <v>249</v>
      </c>
      <c r="B103">
        <v>-157.04</v>
      </c>
      <c r="C103">
        <v>119.59</v>
      </c>
      <c r="E103" t="s">
        <v>105</v>
      </c>
      <c r="G103">
        <f t="shared" si="3"/>
        <v>2.7599999999999909</v>
      </c>
      <c r="H103">
        <f t="shared" si="4"/>
        <v>0</v>
      </c>
      <c r="I103">
        <f t="shared" si="5"/>
        <v>0</v>
      </c>
    </row>
    <row r="104" spans="1:12" x14ac:dyDescent="0.25">
      <c r="A104">
        <v>246.24</v>
      </c>
      <c r="B104">
        <v>-157.04</v>
      </c>
      <c r="C104">
        <v>119.59</v>
      </c>
      <c r="E104" t="s">
        <v>106</v>
      </c>
      <c r="G104">
        <f t="shared" si="3"/>
        <v>2.4099999999999966</v>
      </c>
      <c r="H104">
        <f t="shared" si="4"/>
        <v>0.26000000000001933</v>
      </c>
      <c r="I104">
        <f t="shared" si="5"/>
        <v>-6.0000000000002274E-2</v>
      </c>
    </row>
    <row r="105" spans="1:12" x14ac:dyDescent="0.25">
      <c r="A105">
        <v>243.83</v>
      </c>
      <c r="B105">
        <v>-157.30000000000001</v>
      </c>
      <c r="C105">
        <v>119.65</v>
      </c>
      <c r="E105" t="s">
        <v>107</v>
      </c>
      <c r="G105">
        <f t="shared" si="3"/>
        <v>2.0900000000000034</v>
      </c>
      <c r="H105">
        <f t="shared" si="4"/>
        <v>0</v>
      </c>
      <c r="I105">
        <f t="shared" si="5"/>
        <v>0</v>
      </c>
    </row>
    <row r="106" spans="1:12" x14ac:dyDescent="0.25">
      <c r="A106">
        <v>241.74</v>
      </c>
      <c r="B106">
        <v>-157.30000000000001</v>
      </c>
      <c r="C106">
        <v>119.65</v>
      </c>
      <c r="E106" t="s">
        <v>108</v>
      </c>
      <c r="G106">
        <f t="shared" si="3"/>
        <v>2.8700000000000045</v>
      </c>
      <c r="H106">
        <f t="shared" si="4"/>
        <v>0</v>
      </c>
      <c r="I106">
        <f t="shared" si="5"/>
        <v>0</v>
      </c>
    </row>
    <row r="107" spans="1:12" x14ac:dyDescent="0.25">
      <c r="A107">
        <v>238.87</v>
      </c>
      <c r="B107">
        <v>-157.30000000000001</v>
      </c>
      <c r="C107">
        <v>119.65</v>
      </c>
      <c r="E107" t="s">
        <v>109</v>
      </c>
      <c r="G107">
        <f t="shared" si="3"/>
        <v>2.4900000000000091</v>
      </c>
      <c r="H107">
        <f t="shared" si="4"/>
        <v>0</v>
      </c>
      <c r="I107">
        <f t="shared" si="5"/>
        <v>0</v>
      </c>
    </row>
    <row r="108" spans="1:12" x14ac:dyDescent="0.25">
      <c r="A108">
        <v>236.38</v>
      </c>
      <c r="B108">
        <v>-157.30000000000001</v>
      </c>
      <c r="C108">
        <v>119.65</v>
      </c>
      <c r="E108" t="s">
        <v>110</v>
      </c>
      <c r="G108">
        <f t="shared" si="3"/>
        <v>2.3400000000000034</v>
      </c>
      <c r="H108">
        <f t="shared" si="4"/>
        <v>0</v>
      </c>
      <c r="I108">
        <f t="shared" si="5"/>
        <v>0</v>
      </c>
    </row>
    <row r="109" spans="1:12" x14ac:dyDescent="0.25">
      <c r="A109">
        <v>234.04</v>
      </c>
      <c r="B109">
        <v>-157.30000000000001</v>
      </c>
      <c r="C109">
        <v>119.65</v>
      </c>
      <c r="E109" t="s">
        <v>111</v>
      </c>
      <c r="G109">
        <f t="shared" si="3"/>
        <v>2.5199999999999818</v>
      </c>
      <c r="H109">
        <f t="shared" si="4"/>
        <v>0</v>
      </c>
      <c r="I109">
        <f t="shared" si="5"/>
        <v>0</v>
      </c>
    </row>
    <row r="110" spans="1:12" x14ac:dyDescent="0.25">
      <c r="A110">
        <v>231.52</v>
      </c>
      <c r="B110">
        <v>-157.30000000000001</v>
      </c>
      <c r="C110">
        <v>119.65</v>
      </c>
      <c r="E110" t="s">
        <v>112</v>
      </c>
      <c r="F110">
        <f>A110-A111</f>
        <v>-53.129999999999967</v>
      </c>
      <c r="G110">
        <f>B110-B111</f>
        <v>7.4899999999999807</v>
      </c>
      <c r="H110">
        <f>C110-C111</f>
        <v>0.28000000000000114</v>
      </c>
    </row>
    <row r="111" spans="1:12" x14ac:dyDescent="0.25">
      <c r="A111">
        <v>284.64999999999998</v>
      </c>
      <c r="B111">
        <v>-164.79</v>
      </c>
      <c r="C111">
        <v>119.37</v>
      </c>
      <c r="E111" t="s">
        <v>143</v>
      </c>
      <c r="F111">
        <f>A111-A112</f>
        <v>5.0199999999999818</v>
      </c>
      <c r="G111">
        <f>B111-B112</f>
        <v>0</v>
      </c>
      <c r="H111">
        <f>C111-C112</f>
        <v>0</v>
      </c>
    </row>
    <row r="112" spans="1:12" x14ac:dyDescent="0.25">
      <c r="A112">
        <v>279.63</v>
      </c>
      <c r="B112">
        <v>-164.79</v>
      </c>
      <c r="C112">
        <v>119.37</v>
      </c>
      <c r="E112" t="s">
        <v>113</v>
      </c>
      <c r="G112">
        <f t="shared" si="3"/>
        <v>2.6800000000000068</v>
      </c>
      <c r="H112">
        <f t="shared" si="4"/>
        <v>0</v>
      </c>
      <c r="I112">
        <f t="shared" si="5"/>
        <v>0</v>
      </c>
    </row>
    <row r="113" spans="1:12" x14ac:dyDescent="0.25">
      <c r="A113">
        <v>276.95</v>
      </c>
      <c r="B113">
        <v>-164.79</v>
      </c>
      <c r="C113">
        <v>119.37</v>
      </c>
      <c r="E113" t="s">
        <v>114</v>
      </c>
      <c r="G113">
        <f t="shared" si="3"/>
        <v>2.5999999999999659</v>
      </c>
      <c r="H113">
        <f t="shared" si="4"/>
        <v>0</v>
      </c>
      <c r="I113">
        <f t="shared" si="5"/>
        <v>0</v>
      </c>
    </row>
    <row r="114" spans="1:12" x14ac:dyDescent="0.25">
      <c r="A114">
        <v>274.35000000000002</v>
      </c>
      <c r="B114">
        <v>-164.79</v>
      </c>
      <c r="C114">
        <v>119.37</v>
      </c>
      <c r="E114" t="s">
        <v>115</v>
      </c>
      <c r="G114">
        <f t="shared" si="3"/>
        <v>2.1700000000000159</v>
      </c>
      <c r="H114">
        <f t="shared" si="4"/>
        <v>0</v>
      </c>
      <c r="I114">
        <f t="shared" si="5"/>
        <v>0</v>
      </c>
    </row>
    <row r="115" spans="1:12" x14ac:dyDescent="0.25">
      <c r="A115">
        <v>272.18</v>
      </c>
      <c r="B115">
        <v>-164.79</v>
      </c>
      <c r="C115">
        <v>119.37</v>
      </c>
      <c r="E115" t="s">
        <v>116</v>
      </c>
      <c r="G115">
        <f t="shared" si="3"/>
        <v>2.0099999999999909</v>
      </c>
      <c r="H115">
        <f t="shared" si="4"/>
        <v>-0.62000000000000455</v>
      </c>
      <c r="I115">
        <f t="shared" si="5"/>
        <v>-0.57999999999999829</v>
      </c>
    </row>
    <row r="116" spans="1:12" x14ac:dyDescent="0.25">
      <c r="A116">
        <v>270.17</v>
      </c>
      <c r="B116">
        <v>-164.17</v>
      </c>
      <c r="C116">
        <v>119.95</v>
      </c>
      <c r="E116" t="s">
        <v>117</v>
      </c>
      <c r="G116">
        <f t="shared" si="3"/>
        <v>2.5699999999999932</v>
      </c>
      <c r="H116">
        <f t="shared" si="4"/>
        <v>0</v>
      </c>
      <c r="I116">
        <f t="shared" si="5"/>
        <v>0</v>
      </c>
    </row>
    <row r="117" spans="1:12" x14ac:dyDescent="0.25">
      <c r="A117">
        <v>267.60000000000002</v>
      </c>
      <c r="B117">
        <v>-164.17</v>
      </c>
      <c r="C117">
        <v>119.95</v>
      </c>
      <c r="E117" t="s">
        <v>118</v>
      </c>
      <c r="G117">
        <f t="shared" si="3"/>
        <v>2.5200000000000387</v>
      </c>
      <c r="H117">
        <f t="shared" si="4"/>
        <v>0</v>
      </c>
      <c r="I117">
        <f t="shared" si="5"/>
        <v>3.0000000000001137E-2</v>
      </c>
    </row>
    <row r="118" spans="1:12" x14ac:dyDescent="0.25">
      <c r="A118">
        <v>265.08</v>
      </c>
      <c r="B118">
        <v>-164.17</v>
      </c>
      <c r="C118">
        <v>119.92</v>
      </c>
      <c r="E118" t="s">
        <v>119</v>
      </c>
      <c r="G118">
        <f t="shared" si="3"/>
        <v>2.8299999999999841</v>
      </c>
      <c r="H118">
        <f t="shared" si="4"/>
        <v>0</v>
      </c>
      <c r="I118">
        <f t="shared" si="5"/>
        <v>0</v>
      </c>
    </row>
    <row r="119" spans="1:12" x14ac:dyDescent="0.25">
      <c r="A119">
        <v>262.25</v>
      </c>
      <c r="B119">
        <v>-164.17</v>
      </c>
      <c r="C119">
        <v>119.92</v>
      </c>
      <c r="E119" t="s">
        <v>120</v>
      </c>
      <c r="G119">
        <f t="shared" si="3"/>
        <v>2</v>
      </c>
      <c r="H119">
        <f t="shared" si="4"/>
        <v>0</v>
      </c>
      <c r="I119">
        <f t="shared" si="5"/>
        <v>-9.0000000000003411E-2</v>
      </c>
    </row>
    <row r="120" spans="1:12" x14ac:dyDescent="0.25">
      <c r="A120">
        <v>260.25</v>
      </c>
      <c r="B120">
        <v>-164.17</v>
      </c>
      <c r="C120">
        <v>120.01</v>
      </c>
      <c r="E120" t="s">
        <v>121</v>
      </c>
      <c r="G120">
        <f t="shared" si="3"/>
        <v>2.5400000000000205</v>
      </c>
      <c r="H120">
        <f t="shared" si="4"/>
        <v>0</v>
      </c>
      <c r="I120">
        <f t="shared" si="5"/>
        <v>0</v>
      </c>
    </row>
    <row r="121" spans="1:12" x14ac:dyDescent="0.25">
      <c r="A121">
        <v>257.70999999999998</v>
      </c>
      <c r="B121">
        <v>-164.17</v>
      </c>
      <c r="C121">
        <v>120.01</v>
      </c>
      <c r="E121" t="s">
        <v>122</v>
      </c>
      <c r="G121">
        <f t="shared" si="3"/>
        <v>2.6699999999999875</v>
      </c>
      <c r="H121">
        <f t="shared" si="4"/>
        <v>0</v>
      </c>
      <c r="I121">
        <f t="shared" si="5"/>
        <v>0</v>
      </c>
    </row>
    <row r="122" spans="1:12" x14ac:dyDescent="0.25">
      <c r="A122">
        <v>255.04</v>
      </c>
      <c r="B122">
        <v>-164.17</v>
      </c>
      <c r="C122">
        <v>120.01</v>
      </c>
      <c r="E122" t="s">
        <v>123</v>
      </c>
      <c r="G122">
        <f t="shared" si="3"/>
        <v>2.5999999999999943</v>
      </c>
      <c r="H122">
        <f t="shared" si="4"/>
        <v>0</v>
      </c>
      <c r="I122">
        <f t="shared" si="5"/>
        <v>0</v>
      </c>
    </row>
    <row r="123" spans="1:12" x14ac:dyDescent="0.25">
      <c r="A123">
        <v>252.44</v>
      </c>
      <c r="B123">
        <v>-164.17</v>
      </c>
      <c r="C123">
        <v>120.01</v>
      </c>
      <c r="E123" t="s">
        <v>124</v>
      </c>
      <c r="G123">
        <f t="shared" si="3"/>
        <v>2.039999999999992</v>
      </c>
      <c r="H123">
        <f t="shared" si="4"/>
        <v>0</v>
      </c>
      <c r="I123">
        <f t="shared" si="5"/>
        <v>0</v>
      </c>
      <c r="K123">
        <f>2/22</f>
        <v>9.0909090909090912E-2</v>
      </c>
      <c r="L123">
        <f>4/22</f>
        <v>0.18181818181818182</v>
      </c>
    </row>
    <row r="124" spans="1:12" x14ac:dyDescent="0.25">
      <c r="A124">
        <v>250.4</v>
      </c>
      <c r="B124">
        <v>-164.17</v>
      </c>
      <c r="C124">
        <v>120.01</v>
      </c>
      <c r="E124" t="s">
        <v>125</v>
      </c>
      <c r="G124">
        <f t="shared" si="3"/>
        <v>2.9699999999999989</v>
      </c>
      <c r="H124">
        <f t="shared" si="4"/>
        <v>0</v>
      </c>
      <c r="I124">
        <f t="shared" si="5"/>
        <v>0</v>
      </c>
    </row>
    <row r="125" spans="1:12" x14ac:dyDescent="0.25">
      <c r="A125">
        <v>247.43</v>
      </c>
      <c r="B125">
        <v>-164.17</v>
      </c>
      <c r="C125">
        <v>120.01</v>
      </c>
      <c r="E125" t="s">
        <v>126</v>
      </c>
      <c r="G125">
        <f t="shared" si="3"/>
        <v>2.6400000000000148</v>
      </c>
      <c r="H125">
        <f t="shared" si="4"/>
        <v>0</v>
      </c>
      <c r="I125">
        <f t="shared" si="5"/>
        <v>0</v>
      </c>
    </row>
    <row r="126" spans="1:12" x14ac:dyDescent="0.25">
      <c r="A126">
        <v>244.79</v>
      </c>
      <c r="B126">
        <v>-164.17</v>
      </c>
      <c r="C126">
        <v>120.01</v>
      </c>
      <c r="E126" t="s">
        <v>127</v>
      </c>
      <c r="G126">
        <f t="shared" si="3"/>
        <v>2.5300000000000011</v>
      </c>
      <c r="H126">
        <f t="shared" si="4"/>
        <v>0</v>
      </c>
      <c r="I126">
        <f t="shared" si="5"/>
        <v>0</v>
      </c>
    </row>
    <row r="127" spans="1:12" x14ac:dyDescent="0.25">
      <c r="A127">
        <v>242.26</v>
      </c>
      <c r="B127">
        <v>-164.17</v>
      </c>
      <c r="C127">
        <v>120.01</v>
      </c>
      <c r="E127" t="s">
        <v>128</v>
      </c>
      <c r="G127">
        <f t="shared" si="3"/>
        <v>2.5</v>
      </c>
      <c r="H127">
        <f t="shared" si="4"/>
        <v>0</v>
      </c>
      <c r="I127">
        <f t="shared" si="5"/>
        <v>0</v>
      </c>
    </row>
    <row r="128" spans="1:12" x14ac:dyDescent="0.25">
      <c r="A128">
        <v>239.76</v>
      </c>
      <c r="B128">
        <v>-164.17</v>
      </c>
      <c r="C128">
        <v>120.01</v>
      </c>
      <c r="E128" t="s">
        <v>129</v>
      </c>
      <c r="G128">
        <f t="shared" si="3"/>
        <v>2.3799999999999955</v>
      </c>
      <c r="H128">
        <f t="shared" si="4"/>
        <v>0</v>
      </c>
      <c r="I128">
        <f t="shared" si="5"/>
        <v>0</v>
      </c>
    </row>
    <row r="129" spans="1:12" x14ac:dyDescent="0.25">
      <c r="A129">
        <v>237.38</v>
      </c>
      <c r="B129">
        <v>-164.17</v>
      </c>
      <c r="C129">
        <v>120.01</v>
      </c>
      <c r="E129" t="s">
        <v>130</v>
      </c>
      <c r="G129">
        <f t="shared" si="3"/>
        <v>3.7999999999999829</v>
      </c>
      <c r="H129">
        <f t="shared" si="4"/>
        <v>1.1200000000000045</v>
      </c>
      <c r="I129">
        <f t="shared" si="5"/>
        <v>0.85999999999999943</v>
      </c>
    </row>
    <row r="130" spans="1:12" x14ac:dyDescent="0.25">
      <c r="A130">
        <v>233.58</v>
      </c>
      <c r="B130">
        <v>-165.29</v>
      </c>
      <c r="C130">
        <v>119.15</v>
      </c>
      <c r="E130" t="s">
        <v>131</v>
      </c>
      <c r="G130">
        <f t="shared" si="3"/>
        <v>2.5300000000000011</v>
      </c>
      <c r="H130">
        <f t="shared" si="4"/>
        <v>0</v>
      </c>
      <c r="I130">
        <f t="shared" si="5"/>
        <v>0</v>
      </c>
    </row>
    <row r="131" spans="1:12" x14ac:dyDescent="0.25">
      <c r="A131">
        <v>231.05</v>
      </c>
      <c r="B131">
        <v>-165.29</v>
      </c>
      <c r="C131">
        <v>119.15</v>
      </c>
      <c r="E131" t="s">
        <v>132</v>
      </c>
    </row>
    <row r="132" spans="1:12" x14ac:dyDescent="0.25">
      <c r="G132">
        <f>AVERAGE(G7:G130)</f>
        <v>2.4316379310344813</v>
      </c>
      <c r="H132">
        <f t="shared" ref="H132:I132" si="6">AVERAGE(H7:H130)</f>
        <v>-0.13094827586206906</v>
      </c>
      <c r="I132">
        <f t="shared" si="6"/>
        <v>-0.10894736842105276</v>
      </c>
      <c r="K132">
        <f>AVERAGE(K123,K100,K77,K54,K42,K41)</f>
        <v>0.22727272727272727</v>
      </c>
      <c r="L132">
        <f>AVERAGE(L123,L100,L77,L54,L42,L41)</f>
        <v>0.28030303030303028</v>
      </c>
    </row>
    <row r="133" spans="1:12" x14ac:dyDescent="0.25">
      <c r="K133">
        <f>AVERAGE(K132:L132)</f>
        <v>0.25378787878787878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129"/>
  <sheetViews>
    <sheetView topLeftCell="A114" zoomScale="83" zoomScaleNormal="57" workbookViewId="0">
      <selection activeCell="K128" sqref="K128"/>
    </sheetView>
  </sheetViews>
  <sheetFormatPr defaultRowHeight="14.3" x14ac:dyDescent="0.25"/>
  <sheetData>
    <row r="1" spans="1:12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12" x14ac:dyDescent="0.25">
      <c r="A2">
        <v>222.27</v>
      </c>
      <c r="B2">
        <v>-173.42</v>
      </c>
      <c r="C2">
        <v>122.32</v>
      </c>
      <c r="E2" t="s">
        <v>7</v>
      </c>
      <c r="J2">
        <f t="shared" ref="J2:L3" si="0">A2-A3</f>
        <v>30.439999999999998</v>
      </c>
      <c r="K2">
        <f t="shared" si="0"/>
        <v>-62.279999999999987</v>
      </c>
      <c r="L2">
        <f t="shared" si="0"/>
        <v>5.4399999999999977</v>
      </c>
    </row>
    <row r="3" spans="1:12" x14ac:dyDescent="0.25">
      <c r="A3">
        <v>191.83</v>
      </c>
      <c r="B3">
        <v>-111.14</v>
      </c>
      <c r="C3">
        <v>116.88</v>
      </c>
      <c r="E3" t="s">
        <v>8</v>
      </c>
      <c r="J3">
        <f t="shared" si="0"/>
        <v>-65.039999999999992</v>
      </c>
      <c r="K3">
        <f t="shared" si="0"/>
        <v>3</v>
      </c>
      <c r="L3">
        <f t="shared" si="0"/>
        <v>11.209999999999994</v>
      </c>
    </row>
    <row r="4" spans="1:12" x14ac:dyDescent="0.25">
      <c r="A4">
        <v>256.87</v>
      </c>
      <c r="B4">
        <v>-114.14</v>
      </c>
      <c r="C4">
        <v>105.67</v>
      </c>
      <c r="E4" t="s">
        <v>9</v>
      </c>
      <c r="G4">
        <f t="shared" ref="G4:G64" si="1">A4-A5</f>
        <v>2.6899999999999977</v>
      </c>
      <c r="H4">
        <f t="shared" ref="H4:H64" si="2">B4-B5</f>
        <v>0</v>
      </c>
      <c r="I4">
        <f t="shared" ref="I4:I64" si="3">C4-C5</f>
        <v>0</v>
      </c>
    </row>
    <row r="5" spans="1:12" x14ac:dyDescent="0.25">
      <c r="A5">
        <v>254.18</v>
      </c>
      <c r="B5">
        <v>-114.14</v>
      </c>
      <c r="C5">
        <v>105.67</v>
      </c>
      <c r="E5" t="s">
        <v>10</v>
      </c>
      <c r="G5">
        <f t="shared" si="1"/>
        <v>2.3799999999999955</v>
      </c>
      <c r="H5">
        <f t="shared" si="2"/>
        <v>0</v>
      </c>
      <c r="I5">
        <f t="shared" si="3"/>
        <v>0</v>
      </c>
    </row>
    <row r="6" spans="1:12" x14ac:dyDescent="0.25">
      <c r="A6">
        <v>251.8</v>
      </c>
      <c r="B6">
        <v>-114.14</v>
      </c>
      <c r="C6">
        <v>105.67</v>
      </c>
      <c r="E6" t="s">
        <v>12</v>
      </c>
      <c r="G6">
        <f t="shared" si="1"/>
        <v>3.0300000000000011</v>
      </c>
      <c r="H6">
        <f t="shared" si="2"/>
        <v>0</v>
      </c>
      <c r="I6">
        <f t="shared" si="3"/>
        <v>0</v>
      </c>
    </row>
    <row r="7" spans="1:12" x14ac:dyDescent="0.25">
      <c r="A7">
        <v>248.77</v>
      </c>
      <c r="B7">
        <v>-114.14</v>
      </c>
      <c r="C7">
        <v>105.67</v>
      </c>
      <c r="E7" t="s">
        <v>13</v>
      </c>
      <c r="G7">
        <f t="shared" si="1"/>
        <v>1.8300000000000125</v>
      </c>
      <c r="H7">
        <f t="shared" si="2"/>
        <v>0</v>
      </c>
      <c r="I7">
        <f t="shared" si="3"/>
        <v>0</v>
      </c>
    </row>
    <row r="8" spans="1:12" x14ac:dyDescent="0.25">
      <c r="A8">
        <v>246.94</v>
      </c>
      <c r="B8">
        <v>-114.14</v>
      </c>
      <c r="C8">
        <v>105.67</v>
      </c>
      <c r="E8" t="s">
        <v>14</v>
      </c>
      <c r="G8">
        <f t="shared" si="1"/>
        <v>3.3499999999999943</v>
      </c>
      <c r="H8">
        <f t="shared" si="2"/>
        <v>0</v>
      </c>
      <c r="I8">
        <f t="shared" si="3"/>
        <v>0</v>
      </c>
    </row>
    <row r="9" spans="1:12" x14ac:dyDescent="0.25">
      <c r="A9">
        <v>243.59</v>
      </c>
      <c r="B9">
        <v>-114.14</v>
      </c>
      <c r="C9">
        <v>105.67</v>
      </c>
      <c r="E9" t="s">
        <v>15</v>
      </c>
      <c r="G9">
        <f t="shared" si="1"/>
        <v>2.4900000000000091</v>
      </c>
      <c r="H9">
        <f t="shared" si="2"/>
        <v>0</v>
      </c>
      <c r="I9">
        <f t="shared" si="3"/>
        <v>0</v>
      </c>
    </row>
    <row r="10" spans="1:12" x14ac:dyDescent="0.25">
      <c r="A10">
        <v>241.1</v>
      </c>
      <c r="B10">
        <v>-114.14</v>
      </c>
      <c r="C10">
        <v>105.67</v>
      </c>
      <c r="E10" t="s">
        <v>16</v>
      </c>
      <c r="G10">
        <f t="shared" si="1"/>
        <v>2.7599999999999909</v>
      </c>
      <c r="H10">
        <f t="shared" si="2"/>
        <v>0</v>
      </c>
      <c r="I10">
        <f t="shared" si="3"/>
        <v>0</v>
      </c>
    </row>
    <row r="11" spans="1:12" x14ac:dyDescent="0.25">
      <c r="A11">
        <v>238.34</v>
      </c>
      <c r="B11">
        <v>-114.14</v>
      </c>
      <c r="C11">
        <v>105.67</v>
      </c>
      <c r="E11" t="s">
        <v>17</v>
      </c>
      <c r="G11">
        <f t="shared" si="1"/>
        <v>5.25</v>
      </c>
      <c r="H11">
        <f t="shared" si="2"/>
        <v>0</v>
      </c>
      <c r="I11">
        <f t="shared" si="3"/>
        <v>0</v>
      </c>
    </row>
    <row r="12" spans="1:12" x14ac:dyDescent="0.25">
      <c r="A12">
        <v>233.09</v>
      </c>
      <c r="B12">
        <v>-114.14</v>
      </c>
      <c r="C12">
        <v>105.67</v>
      </c>
      <c r="E12" t="s">
        <v>18</v>
      </c>
      <c r="G12">
        <f t="shared" si="1"/>
        <v>-3.7299999999999898</v>
      </c>
      <c r="H12">
        <f t="shared" si="2"/>
        <v>0</v>
      </c>
      <c r="I12">
        <f t="shared" si="3"/>
        <v>0</v>
      </c>
    </row>
    <row r="13" spans="1:12" x14ac:dyDescent="0.25">
      <c r="A13">
        <v>236.82</v>
      </c>
      <c r="B13">
        <v>-114.14</v>
      </c>
      <c r="C13">
        <v>105.67</v>
      </c>
      <c r="E13" t="s">
        <v>19</v>
      </c>
      <c r="G13">
        <f t="shared" si="1"/>
        <v>6.1099999999999852</v>
      </c>
      <c r="H13">
        <f t="shared" si="2"/>
        <v>0</v>
      </c>
      <c r="I13">
        <f t="shared" si="3"/>
        <v>0</v>
      </c>
    </row>
    <row r="14" spans="1:12" x14ac:dyDescent="0.25">
      <c r="A14">
        <v>230.71</v>
      </c>
      <c r="B14">
        <v>-114.14</v>
      </c>
      <c r="C14">
        <v>105.67</v>
      </c>
      <c r="E14" t="s">
        <v>20</v>
      </c>
      <c r="G14">
        <f t="shared" si="1"/>
        <v>1.6800000000000068</v>
      </c>
      <c r="H14">
        <f t="shared" si="2"/>
        <v>0</v>
      </c>
      <c r="I14">
        <f t="shared" si="3"/>
        <v>0</v>
      </c>
    </row>
    <row r="15" spans="1:12" x14ac:dyDescent="0.25">
      <c r="A15">
        <v>229.03</v>
      </c>
      <c r="B15">
        <v>-114.14</v>
      </c>
      <c r="C15">
        <v>105.67</v>
      </c>
      <c r="E15" t="s">
        <v>21</v>
      </c>
      <c r="G15">
        <f t="shared" si="1"/>
        <v>3.4399999999999977</v>
      </c>
      <c r="H15">
        <f t="shared" si="2"/>
        <v>0</v>
      </c>
      <c r="I15">
        <f t="shared" si="3"/>
        <v>0</v>
      </c>
    </row>
    <row r="16" spans="1:12" x14ac:dyDescent="0.25">
      <c r="A16">
        <v>225.59</v>
      </c>
      <c r="B16">
        <v>-114.14</v>
      </c>
      <c r="C16">
        <v>105.67</v>
      </c>
      <c r="E16" t="s">
        <v>22</v>
      </c>
      <c r="G16">
        <f t="shared" si="1"/>
        <v>2.9300000000000068</v>
      </c>
      <c r="H16">
        <f t="shared" si="2"/>
        <v>0</v>
      </c>
      <c r="I16">
        <f t="shared" si="3"/>
        <v>0</v>
      </c>
    </row>
    <row r="17" spans="1:12" x14ac:dyDescent="0.25">
      <c r="A17">
        <v>222.66</v>
      </c>
      <c r="B17">
        <v>-114.14</v>
      </c>
      <c r="C17">
        <v>105.67</v>
      </c>
      <c r="E17" t="s">
        <v>23</v>
      </c>
      <c r="G17">
        <f t="shared" si="1"/>
        <v>2.6200000000000045</v>
      </c>
      <c r="H17">
        <f t="shared" si="2"/>
        <v>0</v>
      </c>
      <c r="I17">
        <f t="shared" si="3"/>
        <v>0</v>
      </c>
    </row>
    <row r="18" spans="1:12" x14ac:dyDescent="0.25">
      <c r="A18">
        <v>220.04</v>
      </c>
      <c r="B18">
        <v>-114.14</v>
      </c>
      <c r="C18">
        <v>105.67</v>
      </c>
      <c r="E18" t="s">
        <v>24</v>
      </c>
      <c r="G18">
        <f t="shared" si="1"/>
        <v>2.9299999999999784</v>
      </c>
      <c r="H18">
        <f t="shared" si="2"/>
        <v>0</v>
      </c>
      <c r="I18">
        <f t="shared" si="3"/>
        <v>0</v>
      </c>
    </row>
    <row r="19" spans="1:12" x14ac:dyDescent="0.25">
      <c r="A19">
        <v>217.11</v>
      </c>
      <c r="B19">
        <v>-114.14</v>
      </c>
      <c r="C19">
        <v>105.67</v>
      </c>
      <c r="E19" t="s">
        <v>25</v>
      </c>
      <c r="G19">
        <f t="shared" si="1"/>
        <v>2.1900000000000261</v>
      </c>
      <c r="H19">
        <f t="shared" si="2"/>
        <v>0</v>
      </c>
      <c r="I19">
        <f t="shared" si="3"/>
        <v>0</v>
      </c>
    </row>
    <row r="20" spans="1:12" x14ac:dyDescent="0.25">
      <c r="A20">
        <v>214.92</v>
      </c>
      <c r="B20">
        <v>-114.14</v>
      </c>
      <c r="C20">
        <v>105.67</v>
      </c>
      <c r="E20" t="s">
        <v>26</v>
      </c>
      <c r="G20">
        <f t="shared" si="1"/>
        <v>1.5999999999999943</v>
      </c>
      <c r="H20">
        <f t="shared" si="2"/>
        <v>0</v>
      </c>
      <c r="I20">
        <f t="shared" si="3"/>
        <v>0</v>
      </c>
      <c r="K20">
        <v>0</v>
      </c>
      <c r="L20">
        <v>0</v>
      </c>
    </row>
    <row r="21" spans="1:12" x14ac:dyDescent="0.25">
      <c r="A21">
        <v>213.32</v>
      </c>
      <c r="B21">
        <v>-114.14</v>
      </c>
      <c r="C21">
        <v>105.67</v>
      </c>
      <c r="E21" t="s">
        <v>27</v>
      </c>
      <c r="G21">
        <f t="shared" si="1"/>
        <v>2.5300000000000011</v>
      </c>
      <c r="H21">
        <f t="shared" si="2"/>
        <v>0</v>
      </c>
      <c r="I21">
        <f t="shared" si="3"/>
        <v>0</v>
      </c>
    </row>
    <row r="22" spans="1:12" x14ac:dyDescent="0.25">
      <c r="A22">
        <v>210.79</v>
      </c>
      <c r="B22">
        <v>-114.14</v>
      </c>
      <c r="C22">
        <v>105.67</v>
      </c>
      <c r="E22" t="s">
        <v>28</v>
      </c>
      <c r="G22">
        <f t="shared" si="1"/>
        <v>2.6500000000000057</v>
      </c>
      <c r="H22">
        <f t="shared" si="2"/>
        <v>0</v>
      </c>
      <c r="I22">
        <f t="shared" si="3"/>
        <v>0</v>
      </c>
    </row>
    <row r="23" spans="1:12" x14ac:dyDescent="0.25">
      <c r="A23">
        <v>208.14</v>
      </c>
      <c r="B23">
        <v>-114.14</v>
      </c>
      <c r="C23">
        <v>105.67</v>
      </c>
      <c r="E23" t="s">
        <v>29</v>
      </c>
      <c r="J23">
        <f t="shared" ref="J23:L24" si="4">A23-A24</f>
        <v>8.6999999999999886</v>
      </c>
      <c r="K23">
        <f t="shared" si="4"/>
        <v>0</v>
      </c>
      <c r="L23">
        <f t="shared" si="4"/>
        <v>0</v>
      </c>
    </row>
    <row r="24" spans="1:12" x14ac:dyDescent="0.25">
      <c r="A24">
        <v>199.44</v>
      </c>
      <c r="B24">
        <v>-114.14</v>
      </c>
      <c r="C24">
        <v>105.67</v>
      </c>
      <c r="E24" t="s">
        <v>30</v>
      </c>
      <c r="J24">
        <f t="shared" si="4"/>
        <v>-57.53000000000003</v>
      </c>
      <c r="K24">
        <f t="shared" si="4"/>
        <v>8.1500000000000057</v>
      </c>
      <c r="L24">
        <f t="shared" si="4"/>
        <v>-0.23999999999999488</v>
      </c>
    </row>
    <row r="25" spans="1:12" x14ac:dyDescent="0.25">
      <c r="A25">
        <v>256.97000000000003</v>
      </c>
      <c r="B25">
        <v>-122.29</v>
      </c>
      <c r="C25">
        <v>105.91</v>
      </c>
      <c r="E25" t="s">
        <v>31</v>
      </c>
      <c r="G25">
        <f t="shared" si="1"/>
        <v>2.7300000000000182</v>
      </c>
      <c r="H25">
        <f t="shared" si="2"/>
        <v>-0.59000000000000341</v>
      </c>
      <c r="I25">
        <f t="shared" si="3"/>
        <v>0</v>
      </c>
    </row>
    <row r="26" spans="1:12" x14ac:dyDescent="0.25">
      <c r="A26">
        <v>254.24</v>
      </c>
      <c r="B26">
        <v>-121.7</v>
      </c>
      <c r="C26">
        <v>105.91</v>
      </c>
      <c r="E26" t="s">
        <v>32</v>
      </c>
      <c r="G26">
        <f t="shared" si="1"/>
        <v>3.1100000000000136</v>
      </c>
      <c r="H26">
        <f t="shared" si="2"/>
        <v>0.17000000000000171</v>
      </c>
      <c r="I26">
        <f t="shared" si="3"/>
        <v>0</v>
      </c>
    </row>
    <row r="27" spans="1:12" x14ac:dyDescent="0.25">
      <c r="A27">
        <v>251.13</v>
      </c>
      <c r="B27">
        <v>-121.87</v>
      </c>
      <c r="C27">
        <v>105.91</v>
      </c>
      <c r="E27" t="s">
        <v>33</v>
      </c>
      <c r="G27">
        <f t="shared" si="1"/>
        <v>2.4199999999999875</v>
      </c>
      <c r="H27">
        <f t="shared" si="2"/>
        <v>0</v>
      </c>
      <c r="I27">
        <f t="shared" si="3"/>
        <v>0</v>
      </c>
      <c r="K27">
        <f>2/22</f>
        <v>9.0909090909090912E-2</v>
      </c>
      <c r="L27">
        <v>0</v>
      </c>
    </row>
    <row r="28" spans="1:12" x14ac:dyDescent="0.25">
      <c r="A28">
        <v>248.71</v>
      </c>
      <c r="B28">
        <v>-121.87</v>
      </c>
      <c r="C28">
        <v>105.91</v>
      </c>
      <c r="E28" t="s">
        <v>34</v>
      </c>
      <c r="G28">
        <f t="shared" si="1"/>
        <v>2.2400000000000091</v>
      </c>
      <c r="H28">
        <f t="shared" si="2"/>
        <v>0</v>
      </c>
      <c r="I28">
        <f t="shared" si="3"/>
        <v>0</v>
      </c>
    </row>
    <row r="29" spans="1:12" x14ac:dyDescent="0.25">
      <c r="A29">
        <v>246.47</v>
      </c>
      <c r="B29">
        <v>-121.87</v>
      </c>
      <c r="C29">
        <v>105.91</v>
      </c>
      <c r="E29" t="s">
        <v>35</v>
      </c>
      <c r="G29">
        <f t="shared" si="1"/>
        <v>2.7599999999999909</v>
      </c>
      <c r="H29">
        <f t="shared" si="2"/>
        <v>0</v>
      </c>
      <c r="I29">
        <f t="shared" si="3"/>
        <v>0</v>
      </c>
    </row>
    <row r="30" spans="1:12" x14ac:dyDescent="0.25">
      <c r="A30">
        <v>243.71</v>
      </c>
      <c r="B30">
        <v>-121.87</v>
      </c>
      <c r="C30">
        <v>105.91</v>
      </c>
      <c r="E30" t="s">
        <v>36</v>
      </c>
      <c r="G30">
        <f t="shared" si="1"/>
        <v>2.6400000000000148</v>
      </c>
      <c r="H30">
        <f t="shared" si="2"/>
        <v>0</v>
      </c>
      <c r="I30">
        <f t="shared" si="3"/>
        <v>0</v>
      </c>
    </row>
    <row r="31" spans="1:12" x14ac:dyDescent="0.25">
      <c r="A31">
        <v>241.07</v>
      </c>
      <c r="B31">
        <v>-121.87</v>
      </c>
      <c r="C31">
        <v>105.91</v>
      </c>
      <c r="E31" t="s">
        <v>37</v>
      </c>
      <c r="G31">
        <f t="shared" si="1"/>
        <v>2.3899999999999864</v>
      </c>
      <c r="H31">
        <f t="shared" si="2"/>
        <v>0</v>
      </c>
      <c r="I31">
        <f t="shared" si="3"/>
        <v>0</v>
      </c>
    </row>
    <row r="32" spans="1:12" x14ac:dyDescent="0.25">
      <c r="A32">
        <v>238.68</v>
      </c>
      <c r="B32">
        <v>-121.87</v>
      </c>
      <c r="C32">
        <v>105.91</v>
      </c>
      <c r="E32" t="s">
        <v>38</v>
      </c>
      <c r="G32">
        <f t="shared" si="1"/>
        <v>2.8900000000000148</v>
      </c>
      <c r="H32">
        <f t="shared" si="2"/>
        <v>0</v>
      </c>
      <c r="I32">
        <f t="shared" si="3"/>
        <v>0</v>
      </c>
    </row>
    <row r="33" spans="1:12" x14ac:dyDescent="0.25">
      <c r="A33">
        <v>235.79</v>
      </c>
      <c r="B33">
        <v>-121.87</v>
      </c>
      <c r="C33">
        <v>105.91</v>
      </c>
      <c r="E33" t="s">
        <v>39</v>
      </c>
      <c r="G33">
        <f t="shared" si="1"/>
        <v>2.5499999999999829</v>
      </c>
      <c r="H33">
        <f t="shared" si="2"/>
        <v>0</v>
      </c>
      <c r="I33">
        <f t="shared" si="3"/>
        <v>0</v>
      </c>
    </row>
    <row r="34" spans="1:12" x14ac:dyDescent="0.25">
      <c r="A34">
        <v>233.24</v>
      </c>
      <c r="B34">
        <v>-121.87</v>
      </c>
      <c r="C34">
        <v>105.91</v>
      </c>
      <c r="E34" t="s">
        <v>40</v>
      </c>
      <c r="G34">
        <f t="shared" si="1"/>
        <v>2.1200000000000045</v>
      </c>
      <c r="H34">
        <f t="shared" si="2"/>
        <v>0</v>
      </c>
      <c r="I34">
        <f t="shared" si="3"/>
        <v>0</v>
      </c>
    </row>
    <row r="35" spans="1:12" x14ac:dyDescent="0.25">
      <c r="A35">
        <v>231.12</v>
      </c>
      <c r="B35">
        <v>-121.87</v>
      </c>
      <c r="C35">
        <v>105.91</v>
      </c>
      <c r="E35" t="s">
        <v>41</v>
      </c>
      <c r="G35">
        <f t="shared" si="1"/>
        <v>2.8799999999999955</v>
      </c>
      <c r="H35">
        <f t="shared" si="2"/>
        <v>0</v>
      </c>
      <c r="I35">
        <f t="shared" si="3"/>
        <v>0</v>
      </c>
    </row>
    <row r="36" spans="1:12" x14ac:dyDescent="0.25">
      <c r="A36">
        <v>228.24</v>
      </c>
      <c r="B36">
        <v>-121.87</v>
      </c>
      <c r="C36">
        <v>105.91</v>
      </c>
      <c r="E36" t="s">
        <v>42</v>
      </c>
      <c r="G36">
        <f t="shared" si="1"/>
        <v>2.4699999999999989</v>
      </c>
      <c r="H36">
        <f t="shared" si="2"/>
        <v>0</v>
      </c>
      <c r="I36">
        <f t="shared" si="3"/>
        <v>0</v>
      </c>
    </row>
    <row r="37" spans="1:12" x14ac:dyDescent="0.25">
      <c r="A37">
        <v>225.77</v>
      </c>
      <c r="B37">
        <v>-121.87</v>
      </c>
      <c r="C37">
        <v>105.91</v>
      </c>
      <c r="E37" t="s">
        <v>43</v>
      </c>
      <c r="G37">
        <f t="shared" si="1"/>
        <v>2.1500000000000057</v>
      </c>
      <c r="H37">
        <f t="shared" si="2"/>
        <v>0</v>
      </c>
      <c r="I37">
        <f t="shared" si="3"/>
        <v>0</v>
      </c>
    </row>
    <row r="38" spans="1:12" x14ac:dyDescent="0.25">
      <c r="A38">
        <v>223.62</v>
      </c>
      <c r="B38">
        <v>-121.87</v>
      </c>
      <c r="C38">
        <v>105.91</v>
      </c>
      <c r="E38" t="s">
        <v>44</v>
      </c>
      <c r="G38">
        <f t="shared" si="1"/>
        <v>3.210000000000008</v>
      </c>
      <c r="H38">
        <f t="shared" si="2"/>
        <v>0</v>
      </c>
      <c r="I38">
        <f t="shared" si="3"/>
        <v>0</v>
      </c>
    </row>
    <row r="39" spans="1:12" x14ac:dyDescent="0.25">
      <c r="A39">
        <v>220.41</v>
      </c>
      <c r="B39">
        <v>-121.87</v>
      </c>
      <c r="C39">
        <v>105.91</v>
      </c>
      <c r="E39" t="s">
        <v>45</v>
      </c>
      <c r="G39">
        <f t="shared" si="1"/>
        <v>2.7199999999999989</v>
      </c>
      <c r="H39">
        <f t="shared" si="2"/>
        <v>0</v>
      </c>
      <c r="I39">
        <f t="shared" si="3"/>
        <v>0</v>
      </c>
    </row>
    <row r="40" spans="1:12" x14ac:dyDescent="0.25">
      <c r="A40">
        <v>217.69</v>
      </c>
      <c r="B40">
        <v>-121.87</v>
      </c>
      <c r="C40">
        <v>105.91</v>
      </c>
      <c r="E40" t="s">
        <v>46</v>
      </c>
      <c r="G40">
        <f t="shared" si="1"/>
        <v>2.5300000000000011</v>
      </c>
      <c r="H40">
        <f t="shared" si="2"/>
        <v>0</v>
      </c>
      <c r="I40">
        <f t="shared" si="3"/>
        <v>0</v>
      </c>
    </row>
    <row r="41" spans="1:12" x14ac:dyDescent="0.25">
      <c r="A41">
        <v>215.16</v>
      </c>
      <c r="B41">
        <v>-121.87</v>
      </c>
      <c r="C41">
        <v>105.91</v>
      </c>
      <c r="E41" t="s">
        <v>47</v>
      </c>
      <c r="G41">
        <f t="shared" si="1"/>
        <v>2.3100000000000023</v>
      </c>
      <c r="H41">
        <f t="shared" si="2"/>
        <v>0</v>
      </c>
      <c r="I41">
        <f t="shared" si="3"/>
        <v>0</v>
      </c>
    </row>
    <row r="42" spans="1:12" x14ac:dyDescent="0.25">
      <c r="A42">
        <v>212.85</v>
      </c>
      <c r="B42">
        <v>-121.87</v>
      </c>
      <c r="C42">
        <v>105.91</v>
      </c>
      <c r="E42" t="s">
        <v>48</v>
      </c>
      <c r="G42">
        <f t="shared" si="1"/>
        <v>2.3199999999999932</v>
      </c>
      <c r="H42">
        <f t="shared" si="2"/>
        <v>0</v>
      </c>
      <c r="I42">
        <f t="shared" si="3"/>
        <v>0</v>
      </c>
    </row>
    <row r="43" spans="1:12" x14ac:dyDescent="0.25">
      <c r="A43">
        <v>210.53</v>
      </c>
      <c r="B43">
        <v>-121.87</v>
      </c>
      <c r="C43">
        <v>105.91</v>
      </c>
      <c r="E43" t="s">
        <v>49</v>
      </c>
      <c r="G43">
        <f t="shared" si="1"/>
        <v>0.96000000000000796</v>
      </c>
      <c r="H43">
        <f t="shared" si="2"/>
        <v>0</v>
      </c>
      <c r="I43">
        <f t="shared" si="3"/>
        <v>0</v>
      </c>
    </row>
    <row r="44" spans="1:12" x14ac:dyDescent="0.25">
      <c r="A44">
        <v>209.57</v>
      </c>
      <c r="B44">
        <v>-121.87</v>
      </c>
      <c r="C44">
        <v>105.91</v>
      </c>
      <c r="E44" t="s">
        <v>50</v>
      </c>
      <c r="J44">
        <f t="shared" ref="J44:L45" si="5">A44-A45</f>
        <v>10.569999999999993</v>
      </c>
      <c r="K44">
        <f t="shared" si="5"/>
        <v>0</v>
      </c>
      <c r="L44">
        <f t="shared" si="5"/>
        <v>0</v>
      </c>
    </row>
    <row r="45" spans="1:12" x14ac:dyDescent="0.25">
      <c r="A45">
        <v>199</v>
      </c>
      <c r="B45">
        <v>-121.87</v>
      </c>
      <c r="C45">
        <v>105.91</v>
      </c>
      <c r="E45" t="s">
        <v>51</v>
      </c>
      <c r="J45">
        <f t="shared" si="5"/>
        <v>-58.019999999999982</v>
      </c>
      <c r="K45">
        <f t="shared" si="5"/>
        <v>7.8400000000000034</v>
      </c>
      <c r="L45">
        <f t="shared" si="5"/>
        <v>0.17999999999999261</v>
      </c>
    </row>
    <row r="46" spans="1:12" x14ac:dyDescent="0.25">
      <c r="A46">
        <v>257.02</v>
      </c>
      <c r="B46">
        <v>-129.71</v>
      </c>
      <c r="C46">
        <v>105.73</v>
      </c>
      <c r="E46" t="s">
        <v>52</v>
      </c>
      <c r="G46">
        <f t="shared" si="1"/>
        <v>2.9599999999999795</v>
      </c>
      <c r="H46">
        <f t="shared" si="2"/>
        <v>0</v>
      </c>
      <c r="I46">
        <f t="shared" si="3"/>
        <v>0</v>
      </c>
    </row>
    <row r="47" spans="1:12" x14ac:dyDescent="0.25">
      <c r="A47">
        <v>254.06</v>
      </c>
      <c r="B47">
        <v>-129.71</v>
      </c>
      <c r="C47">
        <v>105.73</v>
      </c>
      <c r="E47" t="s">
        <v>53</v>
      </c>
      <c r="G47">
        <f t="shared" si="1"/>
        <v>2.6700000000000159</v>
      </c>
      <c r="H47">
        <f t="shared" si="2"/>
        <v>0</v>
      </c>
      <c r="I47">
        <f t="shared" si="3"/>
        <v>0</v>
      </c>
    </row>
    <row r="48" spans="1:12" x14ac:dyDescent="0.25">
      <c r="A48">
        <v>251.39</v>
      </c>
      <c r="B48">
        <v>-129.71</v>
      </c>
      <c r="C48">
        <v>105.73</v>
      </c>
      <c r="E48" t="s">
        <v>54</v>
      </c>
      <c r="G48">
        <f t="shared" si="1"/>
        <v>2.3699999999999761</v>
      </c>
      <c r="H48">
        <f t="shared" si="2"/>
        <v>0</v>
      </c>
      <c r="I48">
        <f t="shared" si="3"/>
        <v>0</v>
      </c>
    </row>
    <row r="49" spans="1:12" x14ac:dyDescent="0.25">
      <c r="A49">
        <v>249.02</v>
      </c>
      <c r="B49">
        <v>-129.71</v>
      </c>
      <c r="C49">
        <v>105.73</v>
      </c>
      <c r="E49" t="s">
        <v>55</v>
      </c>
      <c r="G49">
        <f t="shared" si="1"/>
        <v>2.7900000000000205</v>
      </c>
      <c r="H49">
        <f t="shared" si="2"/>
        <v>0</v>
      </c>
      <c r="I49">
        <f t="shared" si="3"/>
        <v>0</v>
      </c>
    </row>
    <row r="50" spans="1:12" x14ac:dyDescent="0.25">
      <c r="A50">
        <v>246.23</v>
      </c>
      <c r="B50">
        <v>-129.71</v>
      </c>
      <c r="C50">
        <v>105.73</v>
      </c>
      <c r="E50" t="s">
        <v>56</v>
      </c>
      <c r="G50">
        <f t="shared" si="1"/>
        <v>1.6699999999999875</v>
      </c>
      <c r="H50">
        <f t="shared" si="2"/>
        <v>0</v>
      </c>
      <c r="I50">
        <f t="shared" si="3"/>
        <v>0</v>
      </c>
    </row>
    <row r="51" spans="1:12" x14ac:dyDescent="0.25">
      <c r="A51">
        <v>244.56</v>
      </c>
      <c r="B51">
        <v>-129.71</v>
      </c>
      <c r="C51">
        <v>105.73</v>
      </c>
      <c r="E51" t="s">
        <v>57</v>
      </c>
      <c r="G51">
        <f t="shared" si="1"/>
        <v>3.5699999999999932</v>
      </c>
      <c r="H51">
        <f t="shared" si="2"/>
        <v>1.8199999999999932</v>
      </c>
      <c r="I51">
        <f t="shared" si="3"/>
        <v>0</v>
      </c>
    </row>
    <row r="52" spans="1:12" x14ac:dyDescent="0.25">
      <c r="A52">
        <v>240.99</v>
      </c>
      <c r="B52">
        <v>-131.53</v>
      </c>
      <c r="C52">
        <v>105.73</v>
      </c>
      <c r="E52" t="s">
        <v>58</v>
      </c>
      <c r="G52">
        <f t="shared" si="1"/>
        <v>1.4399999999999977</v>
      </c>
      <c r="H52">
        <f t="shared" si="2"/>
        <v>-2.0699999999999932</v>
      </c>
      <c r="I52">
        <f t="shared" si="3"/>
        <v>-0.73999999999999488</v>
      </c>
      <c r="K52">
        <f>4/22</f>
        <v>0.18181818181818182</v>
      </c>
      <c r="L52">
        <f>2/22</f>
        <v>9.0909090909090912E-2</v>
      </c>
    </row>
    <row r="53" spans="1:12" x14ac:dyDescent="0.25">
      <c r="A53">
        <v>239.55</v>
      </c>
      <c r="B53">
        <v>-129.46</v>
      </c>
      <c r="C53">
        <v>106.47</v>
      </c>
      <c r="E53" t="s">
        <v>59</v>
      </c>
      <c r="G53">
        <f t="shared" si="1"/>
        <v>2.7400000000000091</v>
      </c>
      <c r="H53">
        <f t="shared" si="2"/>
        <v>0</v>
      </c>
      <c r="I53">
        <f t="shared" si="3"/>
        <v>1.019999999999996</v>
      </c>
    </row>
    <row r="54" spans="1:12" x14ac:dyDescent="0.25">
      <c r="A54">
        <v>236.81</v>
      </c>
      <c r="B54">
        <v>-129.46</v>
      </c>
      <c r="C54">
        <v>105.45</v>
      </c>
      <c r="E54" t="s">
        <v>60</v>
      </c>
      <c r="G54">
        <f t="shared" si="1"/>
        <v>4.3799999999999955</v>
      </c>
      <c r="H54">
        <f t="shared" si="2"/>
        <v>0</v>
      </c>
      <c r="I54">
        <f t="shared" si="3"/>
        <v>0</v>
      </c>
    </row>
    <row r="55" spans="1:12" x14ac:dyDescent="0.25">
      <c r="A55">
        <v>232.43</v>
      </c>
      <c r="B55">
        <v>-129.46</v>
      </c>
      <c r="C55">
        <v>105.45</v>
      </c>
      <c r="E55" t="s">
        <v>61</v>
      </c>
      <c r="G55">
        <f t="shared" si="1"/>
        <v>3.5800000000000125</v>
      </c>
      <c r="H55">
        <f t="shared" si="2"/>
        <v>0</v>
      </c>
      <c r="I55">
        <f t="shared" si="3"/>
        <v>0</v>
      </c>
    </row>
    <row r="56" spans="1:12" x14ac:dyDescent="0.25">
      <c r="A56">
        <v>228.85</v>
      </c>
      <c r="B56">
        <v>-129.46</v>
      </c>
      <c r="C56">
        <v>105.45</v>
      </c>
      <c r="E56" t="s">
        <v>62</v>
      </c>
      <c r="G56">
        <f t="shared" si="1"/>
        <v>2.1899999999999977</v>
      </c>
      <c r="H56">
        <f t="shared" si="2"/>
        <v>0</v>
      </c>
      <c r="I56">
        <f t="shared" si="3"/>
        <v>0</v>
      </c>
    </row>
    <row r="57" spans="1:12" x14ac:dyDescent="0.25">
      <c r="A57">
        <v>226.66</v>
      </c>
      <c r="B57">
        <v>-129.46</v>
      </c>
      <c r="C57">
        <v>105.45</v>
      </c>
      <c r="E57" t="s">
        <v>63</v>
      </c>
      <c r="G57">
        <f t="shared" si="1"/>
        <v>2.2999999999999829</v>
      </c>
      <c r="H57">
        <f t="shared" si="2"/>
        <v>0</v>
      </c>
      <c r="I57">
        <f t="shared" si="3"/>
        <v>0</v>
      </c>
    </row>
    <row r="58" spans="1:12" x14ac:dyDescent="0.25">
      <c r="A58">
        <v>224.36</v>
      </c>
      <c r="B58">
        <v>-129.46</v>
      </c>
      <c r="C58">
        <v>105.45</v>
      </c>
      <c r="E58" t="s">
        <v>64</v>
      </c>
      <c r="G58">
        <f t="shared" si="1"/>
        <v>2.5900000000000034</v>
      </c>
      <c r="H58">
        <f t="shared" si="2"/>
        <v>0</v>
      </c>
      <c r="I58">
        <f t="shared" si="3"/>
        <v>0</v>
      </c>
    </row>
    <row r="59" spans="1:12" x14ac:dyDescent="0.25">
      <c r="A59">
        <v>221.77</v>
      </c>
      <c r="B59">
        <v>-129.46</v>
      </c>
      <c r="C59">
        <v>105.45</v>
      </c>
      <c r="E59" t="s">
        <v>65</v>
      </c>
      <c r="G59">
        <f t="shared" si="1"/>
        <v>2.5</v>
      </c>
      <c r="H59">
        <f t="shared" si="2"/>
        <v>0</v>
      </c>
      <c r="I59">
        <f t="shared" si="3"/>
        <v>0</v>
      </c>
    </row>
    <row r="60" spans="1:12" x14ac:dyDescent="0.25">
      <c r="A60">
        <v>219.27</v>
      </c>
      <c r="B60">
        <v>-129.46</v>
      </c>
      <c r="C60">
        <v>105.45</v>
      </c>
      <c r="E60" t="s">
        <v>66</v>
      </c>
      <c r="G60">
        <f t="shared" si="1"/>
        <v>2.5600000000000023</v>
      </c>
      <c r="H60">
        <f t="shared" si="2"/>
        <v>0</v>
      </c>
      <c r="I60">
        <f t="shared" si="3"/>
        <v>0</v>
      </c>
    </row>
    <row r="61" spans="1:12" x14ac:dyDescent="0.25">
      <c r="A61">
        <v>216.71</v>
      </c>
      <c r="B61">
        <v>-129.46</v>
      </c>
      <c r="C61">
        <v>105.45</v>
      </c>
      <c r="E61" t="s">
        <v>67</v>
      </c>
      <c r="G61">
        <f t="shared" si="1"/>
        <v>2.8100000000000023</v>
      </c>
      <c r="H61">
        <f t="shared" si="2"/>
        <v>1.5099999999999909</v>
      </c>
      <c r="I61">
        <f t="shared" si="3"/>
        <v>0</v>
      </c>
    </row>
    <row r="62" spans="1:12" x14ac:dyDescent="0.25">
      <c r="A62">
        <v>213.9</v>
      </c>
      <c r="B62">
        <v>-130.97</v>
      </c>
      <c r="C62">
        <v>105.45</v>
      </c>
      <c r="E62" t="s">
        <v>68</v>
      </c>
      <c r="G62">
        <f t="shared" si="1"/>
        <v>2.7300000000000182</v>
      </c>
      <c r="H62">
        <f t="shared" si="2"/>
        <v>-0.75999999999999091</v>
      </c>
      <c r="I62">
        <f t="shared" si="3"/>
        <v>0</v>
      </c>
    </row>
    <row r="63" spans="1:12" x14ac:dyDescent="0.25">
      <c r="A63">
        <v>211.17</v>
      </c>
      <c r="B63">
        <v>-130.21</v>
      </c>
      <c r="C63">
        <v>105.45</v>
      </c>
      <c r="E63" t="s">
        <v>69</v>
      </c>
      <c r="G63">
        <f t="shared" si="1"/>
        <v>2.2599999999999909</v>
      </c>
      <c r="H63">
        <f t="shared" si="2"/>
        <v>0</v>
      </c>
      <c r="I63">
        <f t="shared" si="3"/>
        <v>0</v>
      </c>
    </row>
    <row r="64" spans="1:12" x14ac:dyDescent="0.25">
      <c r="A64">
        <v>208.91</v>
      </c>
      <c r="B64">
        <v>-130.21</v>
      </c>
      <c r="C64">
        <v>105.45</v>
      </c>
      <c r="E64" t="s">
        <v>70</v>
      </c>
      <c r="G64">
        <f t="shared" si="1"/>
        <v>2.1699999999999875</v>
      </c>
      <c r="H64">
        <f t="shared" si="2"/>
        <v>0</v>
      </c>
      <c r="I64">
        <f t="shared" si="3"/>
        <v>0</v>
      </c>
    </row>
    <row r="65" spans="1:12" x14ac:dyDescent="0.25">
      <c r="A65">
        <v>206.74</v>
      </c>
      <c r="B65">
        <v>-130.21</v>
      </c>
      <c r="C65">
        <v>105.45</v>
      </c>
      <c r="E65" t="s">
        <v>71</v>
      </c>
      <c r="J65">
        <f t="shared" ref="J65:L66" si="6">A65-A66</f>
        <v>8.0600000000000023</v>
      </c>
      <c r="K65">
        <f t="shared" si="6"/>
        <v>0</v>
      </c>
      <c r="L65">
        <f t="shared" si="6"/>
        <v>0</v>
      </c>
    </row>
    <row r="66" spans="1:12" x14ac:dyDescent="0.25">
      <c r="A66">
        <v>198.68</v>
      </c>
      <c r="B66">
        <v>-130.21</v>
      </c>
      <c r="C66">
        <v>105.45</v>
      </c>
      <c r="E66" t="s">
        <v>72</v>
      </c>
      <c r="J66">
        <f t="shared" si="6"/>
        <v>-60.71999999999997</v>
      </c>
      <c r="K66">
        <f t="shared" si="6"/>
        <v>5.6599999999999966</v>
      </c>
      <c r="L66">
        <f t="shared" si="6"/>
        <v>-3.9299999999999926</v>
      </c>
    </row>
    <row r="67" spans="1:12" x14ac:dyDescent="0.25">
      <c r="A67">
        <v>259.39999999999998</v>
      </c>
      <c r="B67">
        <v>-135.87</v>
      </c>
      <c r="C67">
        <v>109.38</v>
      </c>
      <c r="E67" t="s">
        <v>73</v>
      </c>
      <c r="G67">
        <f t="shared" ref="G67:G125" si="7">A67-A68</f>
        <v>2.2199999999999704</v>
      </c>
      <c r="H67">
        <f t="shared" ref="H67:H125" si="8">B67-B68</f>
        <v>0</v>
      </c>
      <c r="I67">
        <f t="shared" ref="I67:I125" si="9">C67-C68</f>
        <v>0</v>
      </c>
    </row>
    <row r="68" spans="1:12" x14ac:dyDescent="0.25">
      <c r="A68">
        <v>257.18</v>
      </c>
      <c r="B68">
        <v>-135.87</v>
      </c>
      <c r="C68">
        <v>109.38</v>
      </c>
      <c r="E68" t="s">
        <v>74</v>
      </c>
      <c r="G68">
        <f t="shared" si="7"/>
        <v>2.4300000000000068</v>
      </c>
      <c r="H68">
        <f t="shared" si="8"/>
        <v>0</v>
      </c>
      <c r="I68">
        <f t="shared" si="9"/>
        <v>0</v>
      </c>
    </row>
    <row r="69" spans="1:12" x14ac:dyDescent="0.25">
      <c r="A69">
        <v>254.75</v>
      </c>
      <c r="B69">
        <v>-135.87</v>
      </c>
      <c r="C69">
        <v>109.38</v>
      </c>
      <c r="E69" t="s">
        <v>75</v>
      </c>
      <c r="G69">
        <f t="shared" si="7"/>
        <v>2.8700000000000045</v>
      </c>
      <c r="H69">
        <f t="shared" si="8"/>
        <v>0</v>
      </c>
      <c r="I69">
        <f t="shared" si="9"/>
        <v>6.9999999999993179E-2</v>
      </c>
    </row>
    <row r="70" spans="1:12" x14ac:dyDescent="0.25">
      <c r="A70">
        <v>251.88</v>
      </c>
      <c r="B70">
        <v>-135.87</v>
      </c>
      <c r="C70">
        <v>109.31</v>
      </c>
      <c r="E70" t="s">
        <v>76</v>
      </c>
      <c r="G70">
        <f t="shared" si="7"/>
        <v>2.2999999999999829</v>
      </c>
      <c r="H70">
        <f t="shared" si="8"/>
        <v>0</v>
      </c>
      <c r="I70">
        <f t="shared" si="9"/>
        <v>0</v>
      </c>
    </row>
    <row r="71" spans="1:12" x14ac:dyDescent="0.25">
      <c r="A71">
        <v>249.58</v>
      </c>
      <c r="B71">
        <v>-135.87</v>
      </c>
      <c r="C71">
        <v>109.31</v>
      </c>
      <c r="E71" t="s">
        <v>77</v>
      </c>
      <c r="G71">
        <f t="shared" si="7"/>
        <v>2.5500000000000114</v>
      </c>
      <c r="H71">
        <f t="shared" si="8"/>
        <v>0</v>
      </c>
      <c r="I71">
        <f t="shared" si="9"/>
        <v>0</v>
      </c>
    </row>
    <row r="72" spans="1:12" x14ac:dyDescent="0.25">
      <c r="A72">
        <v>247.03</v>
      </c>
      <c r="B72">
        <v>-135.87</v>
      </c>
      <c r="C72">
        <v>109.31</v>
      </c>
      <c r="E72" t="s">
        <v>78</v>
      </c>
      <c r="G72">
        <f t="shared" si="7"/>
        <v>2.4499999999999886</v>
      </c>
      <c r="H72">
        <f t="shared" si="8"/>
        <v>6.0000000000002274E-2</v>
      </c>
      <c r="I72">
        <f t="shared" si="9"/>
        <v>0.75</v>
      </c>
      <c r="L72" s="5"/>
    </row>
    <row r="73" spans="1:12" x14ac:dyDescent="0.25">
      <c r="A73">
        <v>244.58</v>
      </c>
      <c r="B73">
        <v>-135.93</v>
      </c>
      <c r="C73">
        <v>108.56</v>
      </c>
      <c r="E73" t="s">
        <v>79</v>
      </c>
      <c r="G73">
        <f t="shared" si="7"/>
        <v>2.960000000000008</v>
      </c>
      <c r="H73">
        <f t="shared" si="8"/>
        <v>0</v>
      </c>
      <c r="I73">
        <f t="shared" si="9"/>
        <v>0</v>
      </c>
      <c r="K73">
        <f>4/22</f>
        <v>0.18181818181818182</v>
      </c>
      <c r="L73">
        <f>3/22</f>
        <v>0.13636363636363635</v>
      </c>
    </row>
    <row r="74" spans="1:12" x14ac:dyDescent="0.25">
      <c r="A74">
        <v>241.62</v>
      </c>
      <c r="B74">
        <v>-135.93</v>
      </c>
      <c r="C74">
        <v>108.56</v>
      </c>
      <c r="E74" t="s">
        <v>80</v>
      </c>
      <c r="G74">
        <f t="shared" si="7"/>
        <v>1.9300000000000068</v>
      </c>
      <c r="H74">
        <f t="shared" si="8"/>
        <v>0</v>
      </c>
      <c r="I74">
        <f t="shared" si="9"/>
        <v>0</v>
      </c>
    </row>
    <row r="75" spans="1:12" x14ac:dyDescent="0.25">
      <c r="A75">
        <v>239.69</v>
      </c>
      <c r="B75">
        <v>-135.93</v>
      </c>
      <c r="C75">
        <v>108.56</v>
      </c>
      <c r="E75" t="s">
        <v>81</v>
      </c>
      <c r="G75">
        <f t="shared" si="7"/>
        <v>2.8000000000000114</v>
      </c>
      <c r="H75">
        <f t="shared" si="8"/>
        <v>0</v>
      </c>
      <c r="I75">
        <f t="shared" si="9"/>
        <v>0</v>
      </c>
    </row>
    <row r="76" spans="1:12" x14ac:dyDescent="0.25">
      <c r="A76">
        <v>236.89</v>
      </c>
      <c r="B76">
        <v>-135.93</v>
      </c>
      <c r="C76">
        <v>108.56</v>
      </c>
      <c r="E76" t="s">
        <v>82</v>
      </c>
      <c r="G76">
        <f t="shared" si="7"/>
        <v>2.089999999999975</v>
      </c>
      <c r="H76">
        <f t="shared" si="8"/>
        <v>0</v>
      </c>
      <c r="I76">
        <f t="shared" si="9"/>
        <v>0</v>
      </c>
    </row>
    <row r="77" spans="1:12" x14ac:dyDescent="0.25">
      <c r="A77">
        <v>234.8</v>
      </c>
      <c r="B77">
        <v>-135.93</v>
      </c>
      <c r="C77">
        <v>108.56</v>
      </c>
      <c r="E77" t="s">
        <v>83</v>
      </c>
      <c r="G77">
        <f t="shared" si="7"/>
        <v>2.5</v>
      </c>
      <c r="H77">
        <f t="shared" si="8"/>
        <v>0</v>
      </c>
      <c r="I77">
        <f t="shared" si="9"/>
        <v>0</v>
      </c>
    </row>
    <row r="78" spans="1:12" x14ac:dyDescent="0.25">
      <c r="A78">
        <v>232.3</v>
      </c>
      <c r="B78">
        <v>-135.93</v>
      </c>
      <c r="C78">
        <v>108.56</v>
      </c>
      <c r="E78" t="s">
        <v>84</v>
      </c>
      <c r="G78">
        <f t="shared" si="7"/>
        <v>2.8000000000000114</v>
      </c>
      <c r="H78">
        <f t="shared" si="8"/>
        <v>0</v>
      </c>
      <c r="I78">
        <f t="shared" si="9"/>
        <v>0</v>
      </c>
    </row>
    <row r="79" spans="1:12" x14ac:dyDescent="0.25">
      <c r="A79">
        <v>229.5</v>
      </c>
      <c r="B79">
        <v>-135.93</v>
      </c>
      <c r="C79">
        <v>108.56</v>
      </c>
      <c r="E79" t="s">
        <v>85</v>
      </c>
      <c r="G79">
        <f t="shared" si="7"/>
        <v>2.5300000000000011</v>
      </c>
      <c r="H79">
        <f t="shared" si="8"/>
        <v>0</v>
      </c>
      <c r="I79">
        <f t="shared" si="9"/>
        <v>0</v>
      </c>
    </row>
    <row r="80" spans="1:12" x14ac:dyDescent="0.25">
      <c r="A80">
        <v>226.97</v>
      </c>
      <c r="B80">
        <v>-135.93</v>
      </c>
      <c r="C80">
        <v>108.56</v>
      </c>
      <c r="E80" t="s">
        <v>86</v>
      </c>
      <c r="G80">
        <f t="shared" si="7"/>
        <v>2.4399999999999977</v>
      </c>
      <c r="H80">
        <f t="shared" si="8"/>
        <v>0.79999999999998295</v>
      </c>
      <c r="I80">
        <f t="shared" si="9"/>
        <v>0</v>
      </c>
    </row>
    <row r="81" spans="1:12" x14ac:dyDescent="0.25">
      <c r="A81">
        <v>224.53</v>
      </c>
      <c r="B81">
        <v>-136.72999999999999</v>
      </c>
      <c r="C81">
        <v>108.56</v>
      </c>
      <c r="E81" t="s">
        <v>87</v>
      </c>
      <c r="G81">
        <f t="shared" si="7"/>
        <v>2.960000000000008</v>
      </c>
      <c r="H81">
        <f t="shared" si="8"/>
        <v>0</v>
      </c>
      <c r="I81">
        <f t="shared" si="9"/>
        <v>0</v>
      </c>
    </row>
    <row r="82" spans="1:12" x14ac:dyDescent="0.25">
      <c r="A82">
        <v>221.57</v>
      </c>
      <c r="B82">
        <v>-136.72999999999999</v>
      </c>
      <c r="C82">
        <v>108.56</v>
      </c>
      <c r="E82" t="s">
        <v>88</v>
      </c>
      <c r="G82">
        <f t="shared" si="7"/>
        <v>2.0900000000000034</v>
      </c>
      <c r="H82">
        <f t="shared" si="8"/>
        <v>-0.84000000000000341</v>
      </c>
      <c r="I82">
        <f t="shared" si="9"/>
        <v>0</v>
      </c>
    </row>
    <row r="83" spans="1:12" x14ac:dyDescent="0.25">
      <c r="A83">
        <v>219.48</v>
      </c>
      <c r="B83">
        <v>-135.88999999999999</v>
      </c>
      <c r="C83">
        <v>108.56</v>
      </c>
      <c r="E83" t="s">
        <v>89</v>
      </c>
      <c r="G83">
        <f t="shared" si="7"/>
        <v>2.4199999999999875</v>
      </c>
      <c r="H83">
        <f t="shared" si="8"/>
        <v>0</v>
      </c>
      <c r="I83">
        <f t="shared" si="9"/>
        <v>0</v>
      </c>
    </row>
    <row r="84" spans="1:12" x14ac:dyDescent="0.25">
      <c r="A84">
        <v>217.06</v>
      </c>
      <c r="B84">
        <v>-135.88999999999999</v>
      </c>
      <c r="C84">
        <v>108.56</v>
      </c>
      <c r="E84" t="s">
        <v>90</v>
      </c>
      <c r="G84">
        <f t="shared" si="7"/>
        <v>2.5900000000000034</v>
      </c>
      <c r="H84">
        <f t="shared" si="8"/>
        <v>0.83000000000001251</v>
      </c>
      <c r="I84">
        <f t="shared" si="9"/>
        <v>0</v>
      </c>
    </row>
    <row r="85" spans="1:12" x14ac:dyDescent="0.25">
      <c r="A85">
        <v>214.47</v>
      </c>
      <c r="B85">
        <v>-136.72</v>
      </c>
      <c r="C85">
        <v>108.56</v>
      </c>
      <c r="E85" t="s">
        <v>91</v>
      </c>
      <c r="G85">
        <f t="shared" si="7"/>
        <v>3.039999999999992</v>
      </c>
      <c r="H85">
        <f t="shared" si="8"/>
        <v>-0.33000000000001251</v>
      </c>
      <c r="I85">
        <f t="shared" si="9"/>
        <v>0.71999999999999886</v>
      </c>
    </row>
    <row r="86" spans="1:12" x14ac:dyDescent="0.25">
      <c r="A86">
        <v>211.43</v>
      </c>
      <c r="B86">
        <v>-136.38999999999999</v>
      </c>
      <c r="C86">
        <v>107.84</v>
      </c>
      <c r="E86" t="s">
        <v>92</v>
      </c>
      <c r="J86">
        <f t="shared" ref="J86:L87" si="10">A86-A87</f>
        <v>-53.19</v>
      </c>
      <c r="K86">
        <f t="shared" si="10"/>
        <v>5.5900000000000034</v>
      </c>
      <c r="L86">
        <f t="shared" si="10"/>
        <v>-3.9500000000000028</v>
      </c>
    </row>
    <row r="87" spans="1:12" x14ac:dyDescent="0.25">
      <c r="A87">
        <v>264.62</v>
      </c>
      <c r="B87">
        <v>-141.97999999999999</v>
      </c>
      <c r="C87">
        <v>111.79</v>
      </c>
      <c r="E87" t="s">
        <v>93</v>
      </c>
      <c r="J87">
        <f t="shared" si="10"/>
        <v>2.4800000000000182</v>
      </c>
      <c r="K87">
        <f t="shared" si="10"/>
        <v>8.0000000000012506E-2</v>
      </c>
      <c r="L87">
        <f t="shared" si="10"/>
        <v>0</v>
      </c>
    </row>
    <row r="88" spans="1:12" x14ac:dyDescent="0.25">
      <c r="A88">
        <v>262.14</v>
      </c>
      <c r="B88">
        <v>-142.06</v>
      </c>
      <c r="C88">
        <v>111.79</v>
      </c>
      <c r="E88" t="s">
        <v>94</v>
      </c>
      <c r="G88">
        <f t="shared" si="7"/>
        <v>2.8299999999999841</v>
      </c>
      <c r="H88">
        <f t="shared" si="8"/>
        <v>0</v>
      </c>
      <c r="I88">
        <f t="shared" si="9"/>
        <v>0</v>
      </c>
    </row>
    <row r="89" spans="1:12" x14ac:dyDescent="0.25">
      <c r="A89">
        <v>259.31</v>
      </c>
      <c r="B89">
        <v>-142.06</v>
      </c>
      <c r="C89">
        <v>111.79</v>
      </c>
      <c r="E89" t="s">
        <v>95</v>
      </c>
      <c r="G89">
        <f t="shared" si="7"/>
        <v>2.3999999999999773</v>
      </c>
      <c r="H89">
        <f t="shared" si="8"/>
        <v>0</v>
      </c>
      <c r="I89">
        <f t="shared" si="9"/>
        <v>0</v>
      </c>
    </row>
    <row r="90" spans="1:12" x14ac:dyDescent="0.25">
      <c r="A90">
        <v>256.91000000000003</v>
      </c>
      <c r="B90">
        <v>-142.06</v>
      </c>
      <c r="C90">
        <v>111.79</v>
      </c>
      <c r="E90" t="s">
        <v>96</v>
      </c>
      <c r="G90">
        <f t="shared" si="7"/>
        <v>2.4600000000000364</v>
      </c>
      <c r="H90">
        <f t="shared" si="8"/>
        <v>0</v>
      </c>
      <c r="I90">
        <f t="shared" si="9"/>
        <v>0</v>
      </c>
    </row>
    <row r="91" spans="1:12" x14ac:dyDescent="0.25">
      <c r="A91">
        <v>254.45</v>
      </c>
      <c r="B91">
        <v>-142.06</v>
      </c>
      <c r="C91">
        <v>111.79</v>
      </c>
      <c r="E91" t="s">
        <v>97</v>
      </c>
      <c r="G91">
        <f t="shared" si="7"/>
        <v>2.039999999999992</v>
      </c>
      <c r="H91">
        <f t="shared" si="8"/>
        <v>0</v>
      </c>
      <c r="I91">
        <f t="shared" si="9"/>
        <v>0</v>
      </c>
    </row>
    <row r="92" spans="1:12" x14ac:dyDescent="0.25">
      <c r="A92">
        <v>252.41</v>
      </c>
      <c r="B92">
        <v>-142.06</v>
      </c>
      <c r="C92">
        <v>111.79</v>
      </c>
      <c r="E92" t="s">
        <v>98</v>
      </c>
      <c r="G92">
        <f t="shared" si="7"/>
        <v>2.1899999999999977</v>
      </c>
      <c r="H92">
        <f t="shared" si="8"/>
        <v>0</v>
      </c>
      <c r="I92">
        <f t="shared" si="9"/>
        <v>0</v>
      </c>
    </row>
    <row r="93" spans="1:12" x14ac:dyDescent="0.25">
      <c r="A93">
        <v>250.22</v>
      </c>
      <c r="B93">
        <v>-142.06</v>
      </c>
      <c r="C93">
        <v>111.79</v>
      </c>
      <c r="E93" t="s">
        <v>99</v>
      </c>
      <c r="G93">
        <f t="shared" si="7"/>
        <v>3.1500000000000057</v>
      </c>
      <c r="H93">
        <f t="shared" si="8"/>
        <v>0.12000000000000455</v>
      </c>
      <c r="I93">
        <f t="shared" si="9"/>
        <v>4.0000000000006253E-2</v>
      </c>
      <c r="K93">
        <f>4/22</f>
        <v>0.18181818181818182</v>
      </c>
      <c r="L93">
        <f>3/22</f>
        <v>0.13636363636363635</v>
      </c>
    </row>
    <row r="94" spans="1:12" x14ac:dyDescent="0.25">
      <c r="A94">
        <v>247.07</v>
      </c>
      <c r="B94">
        <v>-142.18</v>
      </c>
      <c r="C94">
        <v>111.75</v>
      </c>
      <c r="E94" t="s">
        <v>100</v>
      </c>
      <c r="G94">
        <f t="shared" si="7"/>
        <v>2.7099999999999795</v>
      </c>
      <c r="H94">
        <f t="shared" si="8"/>
        <v>-1.0000000000019327E-2</v>
      </c>
      <c r="I94">
        <f t="shared" si="9"/>
        <v>0</v>
      </c>
    </row>
    <row r="95" spans="1:12" x14ac:dyDescent="0.25">
      <c r="A95">
        <v>244.36</v>
      </c>
      <c r="B95">
        <v>-142.16999999999999</v>
      </c>
      <c r="C95">
        <v>111.75</v>
      </c>
      <c r="E95" t="s">
        <v>101</v>
      </c>
      <c r="G95">
        <f t="shared" si="7"/>
        <v>2.1500000000000057</v>
      </c>
      <c r="H95">
        <f t="shared" si="8"/>
        <v>0</v>
      </c>
      <c r="I95">
        <f t="shared" si="9"/>
        <v>0</v>
      </c>
    </row>
    <row r="96" spans="1:12" x14ac:dyDescent="0.25">
      <c r="A96">
        <v>242.21</v>
      </c>
      <c r="B96">
        <v>-142.16999999999999</v>
      </c>
      <c r="C96">
        <v>111.75</v>
      </c>
      <c r="E96" t="s">
        <v>102</v>
      </c>
      <c r="G96">
        <f t="shared" si="7"/>
        <v>2.6800000000000068</v>
      </c>
      <c r="H96">
        <f t="shared" si="8"/>
        <v>1.0000000000019327E-2</v>
      </c>
      <c r="I96">
        <f t="shared" si="9"/>
        <v>0</v>
      </c>
    </row>
    <row r="97" spans="1:12" x14ac:dyDescent="0.25">
      <c r="A97">
        <v>239.53</v>
      </c>
      <c r="B97">
        <v>-142.18</v>
      </c>
      <c r="C97">
        <v>111.75</v>
      </c>
      <c r="E97" t="s">
        <v>103</v>
      </c>
      <c r="G97">
        <f t="shared" si="7"/>
        <v>2.460000000000008</v>
      </c>
      <c r="H97">
        <f t="shared" si="8"/>
        <v>0</v>
      </c>
      <c r="I97">
        <f t="shared" si="9"/>
        <v>0</v>
      </c>
    </row>
    <row r="98" spans="1:12" x14ac:dyDescent="0.25">
      <c r="A98">
        <v>237.07</v>
      </c>
      <c r="B98">
        <v>-142.18</v>
      </c>
      <c r="C98">
        <v>111.75</v>
      </c>
      <c r="E98" t="s">
        <v>104</v>
      </c>
      <c r="G98">
        <f t="shared" si="7"/>
        <v>2.4499999999999886</v>
      </c>
      <c r="H98">
        <f t="shared" si="8"/>
        <v>0</v>
      </c>
      <c r="I98">
        <f t="shared" si="9"/>
        <v>0</v>
      </c>
    </row>
    <row r="99" spans="1:12" x14ac:dyDescent="0.25">
      <c r="A99">
        <v>234.62</v>
      </c>
      <c r="B99">
        <v>-142.18</v>
      </c>
      <c r="C99">
        <v>111.75</v>
      </c>
      <c r="E99" t="s">
        <v>105</v>
      </c>
      <c r="G99">
        <f t="shared" si="7"/>
        <v>1.1200000000000045</v>
      </c>
      <c r="H99">
        <f t="shared" si="8"/>
        <v>-1.0100000000000193</v>
      </c>
      <c r="I99">
        <f t="shared" si="9"/>
        <v>-0.93999999999999773</v>
      </c>
    </row>
    <row r="100" spans="1:12" x14ac:dyDescent="0.25">
      <c r="A100">
        <v>233.5</v>
      </c>
      <c r="B100">
        <v>-141.16999999999999</v>
      </c>
      <c r="C100">
        <v>112.69</v>
      </c>
      <c r="E100" t="s">
        <v>106</v>
      </c>
      <c r="G100">
        <f t="shared" si="7"/>
        <v>2.6299999999999955</v>
      </c>
      <c r="H100">
        <f t="shared" si="8"/>
        <v>0</v>
      </c>
      <c r="I100">
        <f t="shared" si="9"/>
        <v>0</v>
      </c>
    </row>
    <row r="101" spans="1:12" x14ac:dyDescent="0.25">
      <c r="A101">
        <v>230.87</v>
      </c>
      <c r="B101">
        <v>-141.16999999999999</v>
      </c>
      <c r="C101">
        <v>112.69</v>
      </c>
      <c r="E101" t="s">
        <v>107</v>
      </c>
      <c r="G101">
        <f t="shared" si="7"/>
        <v>2.0699999999999932</v>
      </c>
      <c r="H101">
        <f t="shared" si="8"/>
        <v>0</v>
      </c>
      <c r="I101">
        <f t="shared" si="9"/>
        <v>0</v>
      </c>
    </row>
    <row r="102" spans="1:12" x14ac:dyDescent="0.25">
      <c r="A102">
        <v>228.8</v>
      </c>
      <c r="B102">
        <v>-141.16999999999999</v>
      </c>
      <c r="C102">
        <v>112.69</v>
      </c>
      <c r="E102" t="s">
        <v>108</v>
      </c>
      <c r="G102">
        <f t="shared" si="7"/>
        <v>2.6899999999999977</v>
      </c>
      <c r="H102">
        <f t="shared" si="8"/>
        <v>0</v>
      </c>
      <c r="I102">
        <f t="shared" si="9"/>
        <v>0.25999999999999091</v>
      </c>
    </row>
    <row r="103" spans="1:12" x14ac:dyDescent="0.25">
      <c r="A103">
        <v>226.11</v>
      </c>
      <c r="B103">
        <v>-141.16999999999999</v>
      </c>
      <c r="C103">
        <v>112.43</v>
      </c>
      <c r="E103" t="s">
        <v>109</v>
      </c>
      <c r="G103">
        <f t="shared" si="7"/>
        <v>2.6200000000000045</v>
      </c>
      <c r="H103">
        <f t="shared" si="8"/>
        <v>0</v>
      </c>
      <c r="I103">
        <f t="shared" si="9"/>
        <v>0</v>
      </c>
    </row>
    <row r="104" spans="1:12" x14ac:dyDescent="0.25">
      <c r="A104">
        <v>223.49</v>
      </c>
      <c r="B104">
        <v>-141.16999999999999</v>
      </c>
      <c r="C104">
        <v>112.43</v>
      </c>
      <c r="E104" t="s">
        <v>110</v>
      </c>
      <c r="G104">
        <f t="shared" si="7"/>
        <v>2.3200000000000216</v>
      </c>
      <c r="H104">
        <f t="shared" si="8"/>
        <v>0</v>
      </c>
      <c r="I104">
        <f t="shared" si="9"/>
        <v>0</v>
      </c>
    </row>
    <row r="105" spans="1:12" x14ac:dyDescent="0.25">
      <c r="A105">
        <v>221.17</v>
      </c>
      <c r="B105">
        <v>-141.16999999999999</v>
      </c>
      <c r="C105">
        <v>112.43</v>
      </c>
      <c r="E105" t="s">
        <v>111</v>
      </c>
      <c r="G105">
        <f t="shared" si="7"/>
        <v>2.8299999999999841</v>
      </c>
      <c r="H105">
        <f t="shared" si="8"/>
        <v>0</v>
      </c>
      <c r="I105">
        <f t="shared" si="9"/>
        <v>0</v>
      </c>
    </row>
    <row r="106" spans="1:12" x14ac:dyDescent="0.25">
      <c r="A106">
        <v>218.34</v>
      </c>
      <c r="B106">
        <v>-141.16999999999999</v>
      </c>
      <c r="C106">
        <v>112.43</v>
      </c>
      <c r="E106" t="s">
        <v>112</v>
      </c>
      <c r="J106">
        <f t="shared" ref="J106:L107" si="11">A106-A107</f>
        <v>-48.239999999999981</v>
      </c>
      <c r="K106">
        <f t="shared" si="11"/>
        <v>7.2400000000000091</v>
      </c>
      <c r="L106">
        <f t="shared" si="11"/>
        <v>-0.15999999999999659</v>
      </c>
    </row>
    <row r="107" spans="1:12" x14ac:dyDescent="0.25">
      <c r="A107">
        <v>266.58</v>
      </c>
      <c r="B107">
        <v>-148.41</v>
      </c>
      <c r="C107">
        <v>112.59</v>
      </c>
      <c r="E107" t="s">
        <v>113</v>
      </c>
      <c r="J107">
        <f t="shared" si="11"/>
        <v>2.9199999999999591</v>
      </c>
      <c r="K107">
        <f t="shared" si="11"/>
        <v>3.0000000000001137E-2</v>
      </c>
      <c r="L107">
        <f t="shared" si="11"/>
        <v>0</v>
      </c>
    </row>
    <row r="108" spans="1:12" x14ac:dyDescent="0.25">
      <c r="A108">
        <v>263.66000000000003</v>
      </c>
      <c r="B108">
        <v>-148.44</v>
      </c>
      <c r="C108">
        <v>112.59</v>
      </c>
      <c r="E108" t="s">
        <v>114</v>
      </c>
      <c r="G108">
        <f t="shared" si="7"/>
        <v>2.3100000000000023</v>
      </c>
      <c r="H108">
        <f t="shared" si="8"/>
        <v>0.36000000000001364</v>
      </c>
      <c r="I108">
        <f t="shared" si="9"/>
        <v>0</v>
      </c>
    </row>
    <row r="109" spans="1:12" x14ac:dyDescent="0.25">
      <c r="A109">
        <v>261.35000000000002</v>
      </c>
      <c r="B109">
        <v>-148.80000000000001</v>
      </c>
      <c r="C109">
        <v>112.59</v>
      </c>
      <c r="E109" t="s">
        <v>115</v>
      </c>
      <c r="G109">
        <f t="shared" si="7"/>
        <v>2.6299999999999955</v>
      </c>
      <c r="H109">
        <f t="shared" si="8"/>
        <v>0</v>
      </c>
      <c r="I109">
        <f t="shared" si="9"/>
        <v>0</v>
      </c>
    </row>
    <row r="110" spans="1:12" x14ac:dyDescent="0.25">
      <c r="A110">
        <v>258.72000000000003</v>
      </c>
      <c r="B110">
        <v>-148.80000000000001</v>
      </c>
      <c r="C110">
        <v>112.59</v>
      </c>
      <c r="E110" t="s">
        <v>116</v>
      </c>
      <c r="G110">
        <f t="shared" si="7"/>
        <v>1.9800000000000182</v>
      </c>
      <c r="H110">
        <f t="shared" si="8"/>
        <v>0</v>
      </c>
      <c r="I110">
        <f t="shared" si="9"/>
        <v>0</v>
      </c>
    </row>
    <row r="111" spans="1:12" x14ac:dyDescent="0.25">
      <c r="A111">
        <v>256.74</v>
      </c>
      <c r="B111">
        <v>-148.80000000000001</v>
      </c>
      <c r="C111">
        <v>112.59</v>
      </c>
      <c r="E111" t="s">
        <v>117</v>
      </c>
      <c r="G111">
        <f t="shared" si="7"/>
        <v>2.9500000000000171</v>
      </c>
      <c r="H111">
        <f t="shared" si="8"/>
        <v>0</v>
      </c>
      <c r="I111">
        <f t="shared" si="9"/>
        <v>0</v>
      </c>
    </row>
    <row r="112" spans="1:12" x14ac:dyDescent="0.25">
      <c r="A112">
        <v>253.79</v>
      </c>
      <c r="B112">
        <v>-148.80000000000001</v>
      </c>
      <c r="C112">
        <v>112.59</v>
      </c>
      <c r="E112" t="s">
        <v>118</v>
      </c>
      <c r="G112">
        <f t="shared" si="7"/>
        <v>1.6699999999999875</v>
      </c>
      <c r="H112">
        <f t="shared" si="8"/>
        <v>0</v>
      </c>
      <c r="I112">
        <f t="shared" si="9"/>
        <v>0</v>
      </c>
    </row>
    <row r="113" spans="1:12" x14ac:dyDescent="0.25">
      <c r="A113">
        <v>252.12</v>
      </c>
      <c r="B113">
        <v>-148.80000000000001</v>
      </c>
      <c r="C113">
        <v>112.59</v>
      </c>
      <c r="E113" t="s">
        <v>119</v>
      </c>
      <c r="G113">
        <f t="shared" si="7"/>
        <v>2.539999999999992</v>
      </c>
      <c r="H113">
        <f t="shared" si="8"/>
        <v>-0.59000000000000341</v>
      </c>
      <c r="I113">
        <f t="shared" si="9"/>
        <v>-0.45000000000000284</v>
      </c>
    </row>
    <row r="114" spans="1:12" x14ac:dyDescent="0.25">
      <c r="A114">
        <v>249.58</v>
      </c>
      <c r="B114">
        <v>-148.21</v>
      </c>
      <c r="C114">
        <v>113.04</v>
      </c>
      <c r="E114" t="s">
        <v>120</v>
      </c>
      <c r="G114">
        <f t="shared" si="7"/>
        <v>2.7199999999999989</v>
      </c>
      <c r="H114">
        <f t="shared" si="8"/>
        <v>0</v>
      </c>
      <c r="I114">
        <f t="shared" si="9"/>
        <v>0</v>
      </c>
    </row>
    <row r="115" spans="1:12" x14ac:dyDescent="0.25">
      <c r="A115">
        <v>246.86</v>
      </c>
      <c r="B115">
        <v>-148.21</v>
      </c>
      <c r="C115">
        <v>113.04</v>
      </c>
      <c r="E115" t="s">
        <v>121</v>
      </c>
      <c r="G115">
        <f t="shared" si="7"/>
        <v>2.5800000000000125</v>
      </c>
      <c r="H115">
        <f t="shared" si="8"/>
        <v>0</v>
      </c>
      <c r="I115">
        <f t="shared" si="9"/>
        <v>0</v>
      </c>
      <c r="K115">
        <f>3/22</f>
        <v>0.13636363636363635</v>
      </c>
      <c r="L115">
        <f>2/22</f>
        <v>9.0909090909090912E-2</v>
      </c>
    </row>
    <row r="116" spans="1:12" x14ac:dyDescent="0.25">
      <c r="A116">
        <v>244.28</v>
      </c>
      <c r="B116">
        <v>-148.21</v>
      </c>
      <c r="C116">
        <v>113.04</v>
      </c>
      <c r="E116" t="s">
        <v>122</v>
      </c>
      <c r="G116">
        <f t="shared" si="7"/>
        <v>2.0699999999999932</v>
      </c>
      <c r="H116">
        <f t="shared" si="8"/>
        <v>0</v>
      </c>
      <c r="I116">
        <f t="shared" si="9"/>
        <v>0</v>
      </c>
    </row>
    <row r="117" spans="1:12" x14ac:dyDescent="0.25">
      <c r="A117">
        <v>242.21</v>
      </c>
      <c r="B117">
        <v>-148.21</v>
      </c>
      <c r="C117">
        <v>113.04</v>
      </c>
      <c r="E117" t="s">
        <v>123</v>
      </c>
      <c r="G117">
        <f t="shared" si="7"/>
        <v>2.5700000000000216</v>
      </c>
      <c r="H117">
        <f t="shared" si="8"/>
        <v>0</v>
      </c>
      <c r="I117">
        <f t="shared" si="9"/>
        <v>0</v>
      </c>
    </row>
    <row r="118" spans="1:12" x14ac:dyDescent="0.25">
      <c r="A118">
        <v>239.64</v>
      </c>
      <c r="B118">
        <v>-148.21</v>
      </c>
      <c r="C118">
        <v>113.04</v>
      </c>
      <c r="E118" t="s">
        <v>124</v>
      </c>
      <c r="G118">
        <f t="shared" si="7"/>
        <v>2.7399999999999807</v>
      </c>
      <c r="H118">
        <f t="shared" si="8"/>
        <v>0</v>
      </c>
      <c r="I118">
        <f t="shared" si="9"/>
        <v>0</v>
      </c>
    </row>
    <row r="119" spans="1:12" x14ac:dyDescent="0.25">
      <c r="A119">
        <v>236.9</v>
      </c>
      <c r="B119">
        <v>-148.21</v>
      </c>
      <c r="C119">
        <v>113.04</v>
      </c>
      <c r="E119" t="s">
        <v>125</v>
      </c>
      <c r="G119">
        <f t="shared" si="7"/>
        <v>2.1700000000000159</v>
      </c>
      <c r="H119">
        <f t="shared" si="8"/>
        <v>0</v>
      </c>
      <c r="I119">
        <f t="shared" si="9"/>
        <v>0</v>
      </c>
    </row>
    <row r="120" spans="1:12" x14ac:dyDescent="0.25">
      <c r="A120">
        <v>234.73</v>
      </c>
      <c r="B120">
        <v>-148.21</v>
      </c>
      <c r="C120">
        <v>113.04</v>
      </c>
      <c r="E120" t="s">
        <v>126</v>
      </c>
      <c r="G120">
        <f t="shared" si="7"/>
        <v>2.6399999999999864</v>
      </c>
      <c r="H120">
        <f t="shared" si="8"/>
        <v>0</v>
      </c>
      <c r="I120">
        <f t="shared" si="9"/>
        <v>0</v>
      </c>
    </row>
    <row r="121" spans="1:12" x14ac:dyDescent="0.25">
      <c r="A121">
        <v>232.09</v>
      </c>
      <c r="B121">
        <v>-148.21</v>
      </c>
      <c r="C121">
        <v>113.04</v>
      </c>
      <c r="E121" t="s">
        <v>127</v>
      </c>
      <c r="G121">
        <f t="shared" si="7"/>
        <v>2.4900000000000091</v>
      </c>
      <c r="H121">
        <f t="shared" si="8"/>
        <v>0</v>
      </c>
      <c r="I121">
        <f t="shared" si="9"/>
        <v>0</v>
      </c>
    </row>
    <row r="122" spans="1:12" x14ac:dyDescent="0.25">
      <c r="A122">
        <v>229.6</v>
      </c>
      <c r="B122">
        <v>-148.21</v>
      </c>
      <c r="C122">
        <v>113.04</v>
      </c>
      <c r="E122" t="s">
        <v>128</v>
      </c>
      <c r="G122">
        <f t="shared" si="7"/>
        <v>2.8499999999999943</v>
      </c>
      <c r="H122">
        <f t="shared" si="8"/>
        <v>0</v>
      </c>
      <c r="I122">
        <f t="shared" si="9"/>
        <v>0</v>
      </c>
    </row>
    <row r="123" spans="1:12" x14ac:dyDescent="0.25">
      <c r="A123">
        <v>226.75</v>
      </c>
      <c r="B123">
        <v>-148.21</v>
      </c>
      <c r="C123">
        <v>113.04</v>
      </c>
      <c r="E123" t="s">
        <v>129</v>
      </c>
      <c r="G123">
        <f t="shared" si="7"/>
        <v>2.4699999999999989</v>
      </c>
      <c r="H123">
        <f t="shared" si="8"/>
        <v>0</v>
      </c>
      <c r="I123">
        <f t="shared" si="9"/>
        <v>0</v>
      </c>
    </row>
    <row r="124" spans="1:12" x14ac:dyDescent="0.25">
      <c r="A124">
        <v>224.28</v>
      </c>
      <c r="B124">
        <v>-148.21</v>
      </c>
      <c r="C124">
        <v>113.04</v>
      </c>
      <c r="E124" t="s">
        <v>130</v>
      </c>
      <c r="G124">
        <f t="shared" si="7"/>
        <v>2.0600000000000023</v>
      </c>
      <c r="H124">
        <f t="shared" si="8"/>
        <v>0</v>
      </c>
      <c r="I124">
        <f t="shared" si="9"/>
        <v>0</v>
      </c>
    </row>
    <row r="125" spans="1:12" x14ac:dyDescent="0.25">
      <c r="A125">
        <v>222.22</v>
      </c>
      <c r="B125">
        <v>-148.21</v>
      </c>
      <c r="C125">
        <v>113.04</v>
      </c>
      <c r="E125" t="s">
        <v>131</v>
      </c>
      <c r="G125">
        <f t="shared" si="7"/>
        <v>2.4300000000000068</v>
      </c>
      <c r="H125">
        <f t="shared" si="8"/>
        <v>0</v>
      </c>
      <c r="I125">
        <f t="shared" si="9"/>
        <v>0</v>
      </c>
    </row>
    <row r="126" spans="1:12" x14ac:dyDescent="0.25">
      <c r="A126">
        <v>219.79</v>
      </c>
      <c r="B126">
        <v>-148.21</v>
      </c>
      <c r="C126">
        <v>113.04</v>
      </c>
      <c r="E126" t="s">
        <v>132</v>
      </c>
      <c r="G126">
        <f>AVERAGE(G4:G125)</f>
        <v>2.518303571428572</v>
      </c>
      <c r="H126">
        <f>AVERAGE(H4:H125)</f>
        <v>-4.6428571428573607E-3</v>
      </c>
      <c r="I126">
        <f>AVERAGE(I4:I125)</f>
        <v>6.5178571428570519E-3</v>
      </c>
    </row>
    <row r="127" spans="1:12" x14ac:dyDescent="0.25">
      <c r="A127">
        <v>205.37</v>
      </c>
      <c r="B127">
        <v>-154.47</v>
      </c>
      <c r="C127">
        <v>121.13</v>
      </c>
      <c r="E127" t="s">
        <v>133</v>
      </c>
    </row>
    <row r="128" spans="1:12" x14ac:dyDescent="0.25">
      <c r="G128">
        <f>MAX(G3:G125)</f>
        <v>6.1099999999999852</v>
      </c>
      <c r="H128">
        <f>MAX(H4:H125)</f>
        <v>1.8199999999999932</v>
      </c>
      <c r="I128">
        <f>MAX(I4:I125)</f>
        <v>1.019999999999996</v>
      </c>
      <c r="K128">
        <f>AVERAGE(K115,K93,K73,K52,K27,K20)</f>
        <v>0.12878787878787881</v>
      </c>
      <c r="L128">
        <f>AVERAGE(L115,L93,L73,L52,L27,L20)</f>
        <v>7.575757575757576E-2</v>
      </c>
    </row>
    <row r="129" spans="7:11" x14ac:dyDescent="0.25">
      <c r="G129">
        <f>MIN(G3:G125)</f>
        <v>-3.7299999999999898</v>
      </c>
      <c r="H129">
        <f t="shared" ref="H129:I129" si="12">MIN(H3:H125)</f>
        <v>-2.0699999999999932</v>
      </c>
      <c r="I129">
        <f t="shared" si="12"/>
        <v>-0.93999999999999773</v>
      </c>
      <c r="K129">
        <f>AVERAGE(K128:L128)</f>
        <v>0.10227272727272729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1110_data_no_station</vt:lpstr>
      <vt:lpstr>1710_data_g</vt:lpstr>
      <vt:lpstr>1710_data_y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>Trang Nguyễn</cp:lastModifiedBy>
  <dcterms:created xsi:type="dcterms:W3CDTF">2024-10-18T22:01:19Z</dcterms:created>
  <dcterms:modified xsi:type="dcterms:W3CDTF">2024-12-08T14:30:43Z</dcterms:modified>
</cp:coreProperties>
</file>